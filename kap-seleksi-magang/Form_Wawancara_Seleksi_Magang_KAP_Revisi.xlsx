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Petunjuk" sheetId="1" state="visible" r:id="rId1"/>
    <sheet name="Form Wawancara" sheetId="2" state="visible" r:id="rId2"/>
    <sheet name="Kunci &amp; Rubrik" sheetId="3" state="visible" r:id="rId3"/>
    <sheet name="Kunci Tes Excel" sheetId="4" state="visible" r:id="rId4"/>
    <sheet name="Rekap Kandidat" sheetId="5" state="visible" r:id="rId5"/>
    <sheet name="Paramet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dd mmmm yyyy"/>
    <numFmt numFmtId="165" formatCode="0.0"/>
    <numFmt numFmtId="166" formatCode="dd/mm/yyyy"/>
    <numFmt numFmtId="167" formatCode="#,##0;(#,##0);&quot;-&quot;"/>
    <numFmt numFmtId="168" formatCode="0.0000"/>
    <numFmt numFmtId="169" formatCode="+0.0;-0.0;0.0"/>
  </numFmts>
  <fonts count="10">
    <font>
      <name val="Calibri"/>
      <family val="2"/>
      <color theme="1"/>
      <sz val="11"/>
      <scheme val="minor"/>
    </font>
    <font>
      <name val="Arial"/>
      <b val="1"/>
      <color rgb="00F9EDF0"/>
      <sz val="15"/>
    </font>
    <font>
      <name val="Arial"/>
      <i val="1"/>
      <color rgb="00E6C8B7"/>
      <sz val="9"/>
    </font>
    <font>
      <name val="Arial"/>
      <b val="1"/>
      <color rgb="00261311"/>
      <sz val="10"/>
    </font>
    <font>
      <name val="Arial"/>
      <color rgb="00261311"/>
      <sz val="10"/>
    </font>
    <font>
      <name val="Arial"/>
      <i val="1"/>
      <color rgb="00261311"/>
      <sz val="9"/>
    </font>
    <font>
      <name val="Arial"/>
      <b val="1"/>
      <color rgb="00F9EDF0"/>
      <sz val="11"/>
    </font>
    <font>
      <name val="Arial"/>
      <b val="1"/>
      <color rgb="00261311"/>
      <sz val="12"/>
    </font>
    <font>
      <name val="Arial"/>
      <b val="1"/>
      <color rgb="00261311"/>
      <sz val="13"/>
    </font>
    <font>
      <name val="Arial"/>
      <b val="1"/>
      <color rgb="00BA6A36"/>
      <sz val="10"/>
    </font>
  </fonts>
  <fills count="6">
    <fill>
      <patternFill/>
    </fill>
    <fill>
      <patternFill patternType="gray125"/>
    </fill>
    <fill>
      <patternFill patternType="solid">
        <fgColor rgb="001C3934"/>
      </patternFill>
    </fill>
    <fill>
      <patternFill patternType="solid">
        <fgColor rgb="00E6C8B7"/>
      </patternFill>
    </fill>
    <fill>
      <patternFill patternType="solid">
        <fgColor rgb="00F9EDF0"/>
      </patternFill>
    </fill>
    <fill>
      <patternFill patternType="solid">
        <fgColor rgb="00BA6A36"/>
      </patternFill>
    </fill>
  </fills>
  <borders count="7">
    <border>
      <left/>
      <right/>
      <top/>
      <bottom/>
      <diagonal/>
    </border>
    <border>
      <left style="thin">
        <color rgb="00C3955B"/>
      </left>
      <right style="thin">
        <color rgb="00C3955B"/>
      </right>
      <top style="thin">
        <color rgb="00C3955B"/>
      </top>
      <bottom style="thin">
        <color rgb="00C3955B"/>
      </bottom>
    </border>
    <border>
      <left/>
      <right/>
      <top style="thin">
        <color rgb="00C3955B"/>
      </top>
      <bottom/>
      <diagonal/>
    </border>
    <border>
      <left/>
      <right style="thin">
        <color rgb="00C3955B"/>
      </right>
      <top style="thin">
        <color rgb="00C3955B"/>
      </top>
      <bottom/>
      <diagonal/>
    </border>
    <border>
      <left/>
      <right style="thin">
        <color rgb="00C3955B"/>
      </right>
      <top style="thin">
        <color rgb="00C3955B"/>
      </top>
      <bottom style="thin">
        <color rgb="00C3955B"/>
      </bottom>
      <diagonal/>
    </border>
    <border>
      <left/>
      <right/>
      <top style="thin">
        <color rgb="00C3955B"/>
      </top>
      <bottom style="thin">
        <color rgb="00C3955B"/>
      </bottom>
      <diagonal/>
    </border>
    <border>
      <left style="hair">
        <color rgb="00E6C8B7"/>
      </left>
      <right style="hair">
        <color rgb="00E6C8B7"/>
      </right>
      <top style="hair">
        <color rgb="00E6C8B7"/>
      </top>
      <bottom style="hair">
        <color rgb="00E6C8B7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6" fillId="5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4" borderId="1" pivotButton="0" quotePrefix="0" xfId="0"/>
    <xf numFmtId="0" fontId="3" fillId="3" borderId="1" applyAlignment="1" pivotButton="0" quotePrefix="0" xfId="0">
      <alignment vertical="center" wrapText="1"/>
    </xf>
    <xf numFmtId="0" fontId="4" fillId="4" borderId="1" applyAlignment="1" applyProtection="1" pivotButton="0" quotePrefix="0" xfId="0">
      <alignment vertical="center" wrapText="1"/>
      <protection locked="0" hidden="0"/>
    </xf>
    <xf numFmtId="164" fontId="4" fillId="4" borderId="1" applyAlignment="1" applyProtection="1" pivotButton="0" quotePrefix="0" xfId="0">
      <alignment vertical="center" wrapText="1"/>
      <protection locked="0" hidden="0"/>
    </xf>
    <xf numFmtId="0" fontId="3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4" borderId="1" applyAlignment="1" applyProtection="1" pivotButton="0" quotePrefix="0" xfId="0">
      <alignment vertical="top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0" fontId="3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7" fillId="4" borderId="1" applyAlignment="1" applyProtection="1" pivotButton="0" quotePrefix="0" xfId="0">
      <alignment horizontal="center" vertical="center" wrapText="1"/>
      <protection locked="0" hidden="0"/>
    </xf>
    <xf numFmtId="2" fontId="4" fillId="0" borderId="1" applyAlignment="1" pivotButton="0" quotePrefix="0" xfId="0">
      <alignment horizontal="center" vertical="center" wrapText="1"/>
    </xf>
    <xf numFmtId="2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0" borderId="1" applyAlignment="1" pivotButton="0" quotePrefix="0" xfId="0">
      <alignment vertical="center" wrapText="1"/>
    </xf>
    <xf numFmtId="165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165" fontId="3" fillId="0" borderId="1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66" fontId="4" fillId="4" borderId="1" applyAlignment="1" applyProtection="1" pivotButton="0" quotePrefix="0" xfId="0">
      <alignment vertical="center" wrapText="1"/>
      <protection locked="0" hidden="0"/>
    </xf>
    <xf numFmtId="0" fontId="3" fillId="4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5" fillId="0" borderId="0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3" fillId="0" borderId="0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vertical="center" wrapText="1"/>
    </xf>
    <xf numFmtId="167" fontId="3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167" fontId="4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vertical="center" wrapText="1"/>
    </xf>
    <xf numFmtId="0" fontId="4" fillId="0" borderId="6" applyAlignment="1" pivotButton="0" quotePrefix="0" xfId="0">
      <alignment horizontal="center" vertical="center"/>
    </xf>
    <xf numFmtId="0" fontId="4" fillId="4" borderId="6" applyAlignment="1" applyProtection="1" pivotButton="0" quotePrefix="0" xfId="0">
      <alignment vertical="center" wrapText="1"/>
      <protection locked="0" hidden="0"/>
    </xf>
    <xf numFmtId="166" fontId="4" fillId="4" borderId="6" applyAlignment="1" applyProtection="1" pivotButton="0" quotePrefix="0" xfId="0">
      <alignment vertical="center" wrapText="1"/>
      <protection locked="0" hidden="0"/>
    </xf>
    <xf numFmtId="0" fontId="4" fillId="4" borderId="6" applyAlignment="1" applyProtection="1" pivotButton="0" quotePrefix="0" xfId="0">
      <alignment horizontal="center" vertical="center"/>
      <protection locked="0" hidden="0"/>
    </xf>
    <xf numFmtId="165" fontId="4" fillId="4" borderId="6" applyAlignment="1" applyProtection="1" pivotButton="0" quotePrefix="0" xfId="0">
      <alignment horizontal="center" vertical="center"/>
      <protection locked="0" hidden="0"/>
    </xf>
    <xf numFmtId="168" fontId="4" fillId="0" borderId="6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 wrapText="1"/>
    </xf>
    <xf numFmtId="169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5">
    <dxf>
      <font>
        <name val="Arial"/>
        <b val="1"/>
        <color rgb="00FFFFFF"/>
      </font>
      <fill>
        <patternFill patternType="solid">
          <fgColor rgb="00BA6A36"/>
        </patternFill>
      </fill>
    </dxf>
    <dxf>
      <fill>
        <patternFill patternType="solid">
          <fgColor rgb="00E6C8B7"/>
        </patternFill>
      </fill>
    </dxf>
    <dxf>
      <font>
        <name val="Arial"/>
        <b val="1"/>
        <color rgb="00F9EDF0"/>
      </font>
      <fill>
        <patternFill patternType="solid">
          <fgColor rgb="001C3934"/>
        </patternFill>
      </fill>
    </dxf>
    <dxf>
      <font>
        <name val="Arial"/>
        <b val="1"/>
        <color rgb="00BA6A36"/>
      </font>
      <fill>
        <patternFill patternType="solid">
          <fgColor rgb="00E6C8B7"/>
        </patternFill>
      </fill>
    </dxf>
    <dxf>
      <font>
        <name val="Arial"/>
        <b val="1"/>
        <color rgb="00BA6A3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61311"/>
    <outlinePr summaryBelow="1" summaryRight="1"/>
    <pageSetUpPr fitToPage="1"/>
  </sheetPr>
  <dimension ref="A1:C3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</cols>
  <sheetData>
    <row r="1" ht="30" customHeight="1">
      <c r="A1" s="1" t="inlineStr">
        <is>
          <t>PETUNJUK PENGGUNAAN</t>
        </is>
      </c>
      <c r="B1" s="1" t="n"/>
      <c r="C1" s="1" t="n"/>
    </row>
    <row r="2" ht="18" customHeight="1">
      <c r="A2" s="2" t="inlineStr">
        <is>
          <t>Seleksi Mahasiswa Magang — Kantor Akuntan Publik</t>
        </is>
      </c>
      <c r="B2" s="2" t="n"/>
      <c r="C2" s="2" t="n"/>
    </row>
    <row r="4">
      <c r="A4" s="3" t="inlineStr">
        <is>
          <t>TUJUAN</t>
        </is>
      </c>
      <c r="B4" s="3" t="n"/>
      <c r="C4" s="3" t="n"/>
    </row>
    <row r="5" ht="30" customHeight="1">
      <c r="A5" s="4" t="inlineStr">
        <is>
          <t>Menyaring mahasiswa yang sudah memiliki dasar akuntansi dan audit, sehingga auditor tidak perlu menjelaskan dari nol.</t>
        </is>
      </c>
    </row>
    <row r="6" ht="30" customHeight="1">
      <c r="A6" s="4" t="inlineStr">
        <is>
          <t>Mengukur kesiapan untuk tugas utama magang: vouching dokumen, observasi stock opname, dan pemeriksaan aset tetap.</t>
        </is>
      </c>
    </row>
    <row r="7" ht="18" customHeight="1">
      <c r="A7" s="4" t="inlineStr">
        <is>
          <t>Menghasilkan penilaian yang konsisten meskipun interviewer bergantian.</t>
        </is>
      </c>
    </row>
    <row r="9">
      <c r="A9" s="3" t="inlineStr">
        <is>
          <t>ALUR SELEKSI</t>
        </is>
      </c>
      <c r="B9" s="3" t="n"/>
      <c r="C9" s="3" t="n"/>
    </row>
    <row r="10" ht="18" customHeight="1">
      <c r="A10" s="4" t="inlineStr">
        <is>
          <t>1. Penyaringan awal: periksa transkrip/KRS. Undang wawancara hanya kandidat yang memenuhi syarat A1.</t>
        </is>
      </c>
    </row>
    <row r="11" ht="30" customHeight="1">
      <c r="A11" s="4" t="inlineStr">
        <is>
          <t>2. Duplikasi sheet 'Form Wawancara' untuk setiap kandidat (klik kanan tab → Move or Copy → Create a copy). Ganti nama sheet dengan nama kandidat.</t>
        </is>
      </c>
    </row>
    <row r="12" ht="18" customHeight="1">
      <c r="A12" s="4" t="inlineStr">
        <is>
          <t>3. Bagian A: tanyakan syarat administratif. Jika status 'GUGUR', wawancara teknis tidak perlu dilanjutkan.</t>
        </is>
      </c>
    </row>
    <row r="13" ht="30" customHeight="1">
      <c r="A13" s="4" t="inlineStr">
        <is>
          <t>4. Bagian B: ajukan 16 pertanyaan lisan (±35 menit) dan tes praktik Excel (15 menit, file terpisah). Total ±50–60 menit.</t>
        </is>
      </c>
    </row>
    <row r="14" ht="18" customHeight="1">
      <c r="A14" s="4" t="inlineStr">
        <is>
          <t>5. Beri skor 1–4 berdasarkan sheet 'Kunci &amp; Rubrik'. Catat bukti/kutipan jawaban di kolom catatan.</t>
        </is>
      </c>
    </row>
    <row r="15" ht="18" customHeight="1">
      <c r="A15" s="4" t="inlineStr">
        <is>
          <t>6. Isi Rekomendasi Interviewer. Jika berbeda dari Rekomendasi Sistem, alasan wajib ditulis.</t>
        </is>
      </c>
    </row>
    <row r="16" ht="30" customHeight="1">
      <c r="A16" s="4" t="inlineStr">
        <is>
          <t>7. Salin baris 'Data untuk Rekap' ke sheet 'Rekap Kandidat' (Paste Values). Peringkat dan usulan kuota terhitung otomatis.</t>
        </is>
      </c>
    </row>
    <row r="17" ht="18" customHeight="1">
      <c r="A17" s="4" t="inlineStr">
        <is>
          <t>8. Periksa tabel kalibrasi interviewer sebelum keputusan akhir. Keputusan akhir ditetapkan Manajer/Partner.</t>
        </is>
      </c>
    </row>
    <row r="19">
      <c r="A19" s="3" t="inlineStr">
        <is>
          <t>KETENTUAN PENILAIAN</t>
        </is>
      </c>
      <c r="B19" s="3" t="n"/>
      <c r="C19" s="3" t="n"/>
    </row>
    <row r="20" ht="30" customHeight="1">
      <c r="A20" s="4" t="inlineStr">
        <is>
          <t>Skor 1–4 dikonversi ke 0–100: skor 1 = 0, skor 2 = 33, skor 3 = 67, skor 4 = 100. Tidak ada nilai dasar untuk jawaban yang tidak memadai.</t>
        </is>
      </c>
    </row>
    <row r="21" ht="30" customHeight="1">
      <c r="A21" s="4" t="inlineStr">
        <is>
          <t>Bobot: Akuntansi 20% · Audit Lapangan 35% · Excel 15% · Integritas &amp; Kerahasiaan 15% · Sikap Kerja 15%. Komponen teknis = 70%.</t>
        </is>
      </c>
    </row>
    <row r="22" ht="30" customHeight="1">
      <c r="A22" s="4" t="inlineStr">
        <is>
          <t>Kandidat otomatis tidak direkomendasikan jika: (a) syarat gugur tidak terpenuhi, (b) indeks teknis di bawah minimum, atau (c) ada skor 1 pada pertanyaan integritas.</t>
        </is>
      </c>
    </row>
    <row r="23" ht="18" customHeight="1">
      <c r="A23" s="4" t="inlineStr">
        <is>
          <t>Batas rekomendasi, indeks teknis minimum, dan kuota dapat diubah di sheet 'Parameter'.</t>
        </is>
      </c>
    </row>
    <row r="24" ht="18" customHeight="1">
      <c r="A24" s="4" t="inlineStr">
        <is>
          <t>Kesediaan dinas luar kota tidak menggugurkan; hanya dipakai sebagai penentu bila nilai sama.</t>
        </is>
      </c>
    </row>
    <row r="26">
      <c r="A26" s="3" t="inlineStr">
        <is>
          <t>ARTI WARNA</t>
        </is>
      </c>
      <c r="B26" s="3" t="n"/>
      <c r="C26" s="3" t="n"/>
    </row>
    <row r="27" ht="18" customHeight="1">
      <c r="A27" s="4" t="inlineStr">
        <is>
          <t>Sel blush (merah muda pucat) = diisi interviewer. Sel lain berisi rumus atau teks tetap dan dikunci.</t>
        </is>
      </c>
    </row>
    <row r="28" ht="18" customHeight="1">
      <c r="A28" s="4" t="inlineStr">
        <is>
          <t>Proteksi sheet tanpa kata sandi: Review → Unprotect Sheet bila perlu mengubah pertanyaan atau bobot.</t>
        </is>
      </c>
    </row>
    <row r="29" ht="18" customHeight="1">
      <c r="A29" s="4" t="inlineStr">
        <is>
          <t>Hijau tua = memenuhi/direkomendasikan. Amber = gugur/tidak direkomendasikan/perlu perhatian.</t>
        </is>
      </c>
    </row>
    <row r="31">
      <c r="A31" s="3" t="inlineStr">
        <is>
          <t>BERKAS TERKAIT</t>
        </is>
      </c>
      <c r="B31" s="3" t="n"/>
      <c r="C31" s="3" t="n"/>
    </row>
    <row r="32" ht="30" customHeight="1">
      <c r="A32" s="4" t="inlineStr">
        <is>
          <t>Tes_Praktik_Excel_Kandidat.xlsx — diberikan kepada kandidat (salin baru untuk setiap kandidat). Kuncinya ada di sheet 'Kunci Tes Excel'.</t>
        </is>
      </c>
    </row>
    <row r="33" ht="18" customHeight="1">
      <c r="A33" s="4" t="inlineStr">
        <is>
          <t>Sheet 'Kunci &amp; Rubrik' dan 'Kunci Tes Excel' tidak boleh diperlihatkan kepada kandidat.</t>
        </is>
      </c>
    </row>
    <row r="35">
      <c r="A35" s="5" t="inlineStr">
        <is>
          <t>Contoh sel isian</t>
        </is>
      </c>
      <c r="B35" s="6" t="inlineStr">
        <is>
          <t>Contoh: Ringkasan jawaban kandidat</t>
        </is>
      </c>
    </row>
  </sheetData>
  <mergeCells count="28">
    <mergeCell ref="A27:C27"/>
    <mergeCell ref="A21:C21"/>
    <mergeCell ref="A12:C12"/>
    <mergeCell ref="A26:C26"/>
    <mergeCell ref="A2:C2"/>
    <mergeCell ref="A33:C33"/>
    <mergeCell ref="A5:C5"/>
    <mergeCell ref="A23:C23"/>
    <mergeCell ref="A32:C32"/>
    <mergeCell ref="A14:C14"/>
    <mergeCell ref="A22:C22"/>
    <mergeCell ref="A17:C17"/>
    <mergeCell ref="A29:C29"/>
    <mergeCell ref="A4:C4"/>
    <mergeCell ref="A20:C20"/>
    <mergeCell ref="A10:C10"/>
    <mergeCell ref="A28:C28"/>
    <mergeCell ref="A13:C13"/>
    <mergeCell ref="A19:C19"/>
    <mergeCell ref="A31:C31"/>
    <mergeCell ref="A9:C9"/>
    <mergeCell ref="A15:C15"/>
    <mergeCell ref="A24:C24"/>
    <mergeCell ref="A11:C11"/>
    <mergeCell ref="A1:C1"/>
    <mergeCell ref="A6:C6"/>
    <mergeCell ref="A7:C7"/>
    <mergeCell ref="A16:C16"/>
  </mergeCells>
  <printOptions horizontalCentered="1"/>
  <pageMargins left="0.4" right="0.4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tabColor rgb="001C3934"/>
    <outlinePr summaryBelow="1" summaryRight="1"/>
    <pageSetUpPr fitToPage="1"/>
  </sheetPr>
  <dimension ref="A1:H7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50" customWidth="1" min="3" max="3"/>
    <col width="40" customWidth="1" min="4" max="4"/>
    <col width="12" customWidth="1" min="5" max="5"/>
    <col width="11" customWidth="1" min="6" max="6"/>
    <col width="12" customWidth="1" min="7" max="7"/>
    <col width="34" customWidth="1" min="8" max="8"/>
  </cols>
  <sheetData>
    <row r="1" ht="30" customHeight="1">
      <c r="A1" s="1" t="inlineStr">
        <is>
          <t>FORM WAWANCARA SELEKSI MAHASISWA MAGANG</t>
        </is>
      </c>
      <c r="B1" s="1" t="n"/>
      <c r="C1" s="1" t="n"/>
      <c r="D1" s="1" t="n"/>
      <c r="E1" s="1" t="n"/>
      <c r="F1" s="1" t="n"/>
      <c r="G1" s="1" t="n"/>
      <c r="H1" s="1" t="n"/>
    </row>
    <row r="2" ht="18" customHeight="1">
      <c r="A2" s="2" t="inlineStr">
        <is>
          <t>Kantor Akuntan Publik  |  Satu sheet untuk satu kandidat (duplikasi sheet ini untuk kandidat berikutnya)  |  Isi hanya sel berwarna blush</t>
        </is>
      </c>
      <c r="B2" s="2" t="n"/>
      <c r="C2" s="2" t="n"/>
      <c r="D2" s="2" t="n"/>
      <c r="E2" s="2" t="n"/>
      <c r="F2" s="2" t="n"/>
      <c r="G2" s="2" t="n"/>
      <c r="H2" s="2" t="n"/>
    </row>
    <row r="4" ht="20" customHeight="1">
      <c r="A4" s="3" t="inlineStr">
        <is>
          <t>IDENTITAS KANDIDAT &amp; WAWANCARA</t>
        </is>
      </c>
      <c r="B4" s="3" t="n"/>
      <c r="C4" s="3" t="n"/>
      <c r="D4" s="3" t="n"/>
      <c r="E4" s="3" t="n"/>
      <c r="F4" s="3" t="n"/>
      <c r="G4" s="3" t="n"/>
      <c r="H4" s="3" t="n"/>
    </row>
    <row r="5" ht="18" customHeight="1">
      <c r="A5" s="7" t="inlineStr">
        <is>
          <t>Nama Mahasiswa</t>
        </is>
      </c>
      <c r="B5" s="7" t="n"/>
      <c r="C5" s="8" t="n"/>
      <c r="D5" s="8" t="n"/>
      <c r="E5" s="7" t="inlineStr">
        <is>
          <t>Tanggal Wawancara</t>
        </is>
      </c>
      <c r="F5" s="7" t="n"/>
      <c r="G5" s="9" t="n"/>
      <c r="H5" s="8" t="n"/>
    </row>
    <row r="6" ht="18" customHeight="1">
      <c r="A6" s="7" t="inlineStr">
        <is>
          <t>NIM</t>
        </is>
      </c>
      <c r="B6" s="7" t="n"/>
      <c r="C6" s="8" t="n"/>
      <c r="D6" s="8" t="n"/>
      <c r="E6" s="7" t="inlineStr">
        <is>
          <t>Nama Interviewer</t>
        </is>
      </c>
      <c r="F6" s="7" t="n"/>
      <c r="G6" s="8" t="n"/>
      <c r="H6" s="8" t="n"/>
    </row>
    <row r="7" ht="18" customHeight="1">
      <c r="A7" s="7" t="inlineStr">
        <is>
          <t>Universitas</t>
        </is>
      </c>
      <c r="B7" s="7" t="n"/>
      <c r="C7" s="8" t="n"/>
      <c r="D7" s="8" t="n"/>
      <c r="E7" s="7" t="inlineStr">
        <is>
          <t>Jabatan Interviewer</t>
        </is>
      </c>
      <c r="F7" s="7" t="n"/>
      <c r="G7" s="8" t="n"/>
      <c r="H7" s="8" t="n"/>
    </row>
    <row r="8" ht="18" customHeight="1">
      <c r="A8" s="7" t="inlineStr">
        <is>
          <t>Program Studi</t>
        </is>
      </c>
      <c r="B8" s="7" t="n"/>
      <c r="C8" s="8" t="n"/>
      <c r="D8" s="8" t="n"/>
      <c r="E8" s="7" t="inlineStr">
        <is>
          <t>Periode Magang Diajukan</t>
        </is>
      </c>
      <c r="F8" s="7" t="n"/>
      <c r="G8" s="8" t="n"/>
      <c r="H8" s="8" t="n"/>
    </row>
    <row r="9" ht="18" customHeight="1">
      <c r="A9" s="7" t="inlineStr">
        <is>
          <t>Semester / IPK</t>
        </is>
      </c>
      <c r="B9" s="7" t="n"/>
      <c r="C9" s="8" t="n"/>
      <c r="D9" s="8" t="n"/>
      <c r="E9" s="7" t="inlineStr">
        <is>
          <t>No. HP / Email</t>
        </is>
      </c>
      <c r="F9" s="7" t="n"/>
      <c r="G9" s="8" t="n"/>
      <c r="H9" s="8" t="n"/>
    </row>
    <row r="10" ht="18" customHeight="1">
      <c r="A10" s="7" t="inlineStr">
        <is>
          <t>Nilai MK Pengantar Akuntansi / Auditing I</t>
        </is>
      </c>
      <c r="B10" s="7" t="n"/>
      <c r="C10" s="8" t="n"/>
      <c r="D10" s="8" t="n"/>
      <c r="E10" s="7" t="inlineStr">
        <is>
          <t>Durasi Wawancara (menit)</t>
        </is>
      </c>
      <c r="F10" s="7" t="n"/>
      <c r="G10" s="8" t="n"/>
      <c r="H10" s="8" t="n"/>
    </row>
    <row r="12" ht="20" customHeight="1">
      <c r="A12" s="3" t="inlineStr">
        <is>
          <t>BAGIAN A — SYARAT ADMINISTRATIF &amp; SYARAT GUGUR (diisi sebelum wawancara teknis)</t>
        </is>
      </c>
      <c r="B12" s="3" t="n"/>
      <c r="C12" s="3" t="n"/>
      <c r="D12" s="3" t="n"/>
      <c r="E12" s="3" t="n"/>
      <c r="F12" s="3" t="n"/>
      <c r="G12" s="3" t="n"/>
      <c r="H12" s="3" t="n"/>
    </row>
    <row r="13">
      <c r="A13" s="10" t="inlineStr">
        <is>
          <t>No.</t>
        </is>
      </c>
      <c r="B13" s="10" t="inlineStr">
        <is>
          <t>Syarat</t>
        </is>
      </c>
      <c r="C13" s="11" t="n"/>
      <c r="D13" s="10" t="inlineStr">
        <is>
          <t>Keterangan dari Kandidat</t>
        </is>
      </c>
      <c r="E13" s="10" t="inlineStr">
        <is>
          <t>Jawaban (Ya/Tidak)</t>
        </is>
      </c>
      <c r="F13" s="10" t="inlineStr">
        <is>
          <t>Bersifat Gugur?</t>
        </is>
      </c>
      <c r="G13" s="10" t="inlineStr">
        <is>
          <t>Status</t>
        </is>
      </c>
      <c r="H13" s="10" t="inlineStr">
        <is>
          <t>Catatan Interviewer</t>
        </is>
      </c>
    </row>
    <row r="14" ht="32" customHeight="1">
      <c r="A14" s="12" t="inlineStr">
        <is>
          <t>A1</t>
        </is>
      </c>
      <c r="B14" s="13" t="inlineStr">
        <is>
          <t>Telah lulus Pengantar Akuntansi dan minimal sedang menempuh Auditing I (dibuktikan dengan transkrip/KRS).</t>
        </is>
      </c>
      <c r="C14" s="13" t="n"/>
      <c r="D14" s="14" t="n"/>
      <c r="E14" s="15" t="n"/>
      <c r="F14" s="15" t="inlineStr">
        <is>
          <t>Ya</t>
        </is>
      </c>
      <c r="G14" s="12">
        <f>IF(E14="","Belum diisi",IF(AND(F14="Ya",E14="Tidak"),"GUGUR",IF(E14="Ya","Memenuhi","Informasi – perhatikan")))</f>
        <v/>
      </c>
      <c r="H14" s="14" t="n"/>
    </row>
    <row r="15" ht="32" customHeight="1">
      <c r="A15" s="12" t="inlineStr">
        <is>
          <t>A2</t>
        </is>
      </c>
      <c r="B15" s="13" t="inlineStr">
        <is>
          <t>Dapat hadir penuh selama ±3 bulan pada hari dan jam kerja kantor, tidak bentrok dengan jadwal kuliah wajib.</t>
        </is>
      </c>
      <c r="C15" s="13" t="n"/>
      <c r="D15" s="14" t="n"/>
      <c r="E15" s="15" t="n"/>
      <c r="F15" s="15" t="inlineStr">
        <is>
          <t>Ya</t>
        </is>
      </c>
      <c r="G15" s="12">
        <f>IF(E15="","Belum diisi",IF(AND(F15="Ya",E15="Tidak"),"GUGUR",IF(E15="Ya","Memenuhi","Informasi – perhatikan")))</f>
        <v/>
      </c>
      <c r="H15" s="14" t="n"/>
    </row>
    <row r="16" ht="32" customHeight="1">
      <c r="A16" s="12" t="inlineStr">
        <is>
          <t>A3</t>
        </is>
      </c>
      <c r="B16" s="13" t="inlineStr">
        <is>
          <t>Bersedia ikut kunjungan ke lokasi klien dalam kota (stock opname, pemeriksaan aset tetap), termasuk di luar jam kerja bila opname dijadwalkan demikian.</t>
        </is>
      </c>
      <c r="C16" s="13" t="n"/>
      <c r="D16" s="14" t="n"/>
      <c r="E16" s="15" t="n"/>
      <c r="F16" s="15" t="inlineStr">
        <is>
          <t>Ya</t>
        </is>
      </c>
      <c r="G16" s="12">
        <f>IF(E16="","Belum diisi",IF(AND(F16="Ya",E16="Tidak"),"GUGUR",IF(E16="Ya","Memenuhi","Informasi – perhatikan")))</f>
        <v/>
      </c>
      <c r="H16" s="14" t="n"/>
    </row>
    <row r="17" ht="32" customHeight="1">
      <c r="A17" s="12" t="inlineStr">
        <is>
          <t>A4</t>
        </is>
      </c>
      <c r="B17" s="13" t="inlineStr">
        <is>
          <t>Bersedia menandatangani surat pernyataan kerahasiaan dan mematuhi aturan kerahasiaan data klien.</t>
        </is>
      </c>
      <c r="C17" s="13" t="n"/>
      <c r="D17" s="14" t="n"/>
      <c r="E17" s="15" t="n"/>
      <c r="F17" s="15" t="inlineStr">
        <is>
          <t>Ya</t>
        </is>
      </c>
      <c r="G17" s="12">
        <f>IF(E17="","Belum diisi",IF(AND(F17="Ya",E17="Tidak"),"GUGUR",IF(E17="Ya","Memenuhi","Informasi – perhatikan")))</f>
        <v/>
      </c>
      <c r="H17" s="14" t="n"/>
    </row>
    <row r="18" ht="32" customHeight="1">
      <c r="A18" s="12" t="inlineStr">
        <is>
          <t>A5</t>
        </is>
      </c>
      <c r="B18" s="13" t="inlineStr">
        <is>
          <t>Tidak memiliki hubungan keluarga, kepemilikan, atau pekerjaan dengan klien KAP (jika ada, sebutkan nama klien di catatan).</t>
        </is>
      </c>
      <c r="C18" s="13" t="n"/>
      <c r="D18" s="14" t="n"/>
      <c r="E18" s="15" t="n"/>
      <c r="F18" s="15" t="inlineStr">
        <is>
          <t>Tidak</t>
        </is>
      </c>
      <c r="G18" s="12">
        <f>IF(E18="","Belum diisi",IF(AND(F18="Ya",E18="Tidak"),"GUGUR",IF(E18="Ya","Memenuhi","Informasi – perhatikan")))</f>
        <v/>
      </c>
      <c r="H18" s="14" t="n"/>
    </row>
    <row r="19" ht="32" customHeight="1">
      <c r="A19" s="12" t="inlineStr">
        <is>
          <t>A6</t>
        </is>
      </c>
      <c r="B19" s="13" t="inlineStr">
        <is>
          <t>Memiliki laptop pribadi yang dapat digunakan untuk bekerja.</t>
        </is>
      </c>
      <c r="C19" s="13" t="n"/>
      <c r="D19" s="14" t="n"/>
      <c r="E19" s="15" t="n"/>
      <c r="F19" s="15" t="inlineStr">
        <is>
          <t>Tidak</t>
        </is>
      </c>
      <c r="G19" s="12">
        <f>IF(E19="","Belum diisi",IF(AND(F19="Ya",E19="Tidak"),"GUGUR",IF(E19="Ya","Memenuhi","Informasi – perhatikan")))</f>
        <v/>
      </c>
      <c r="H19" s="14" t="n"/>
    </row>
    <row r="20" ht="32" customHeight="1">
      <c r="A20" s="12" t="inlineStr">
        <is>
          <t>A7</t>
        </is>
      </c>
      <c r="B20" s="13" t="inlineStr">
        <is>
          <t>Bersedia dinas luar kota dan menginap bila diperlukan.</t>
        </is>
      </c>
      <c r="C20" s="13" t="n"/>
      <c r="D20" s="14" t="n"/>
      <c r="E20" s="15" t="n"/>
      <c r="F20" s="15" t="inlineStr">
        <is>
          <t>Tidak</t>
        </is>
      </c>
      <c r="G20" s="12">
        <f>IF(E20="","Belum diisi",IF(AND(F20="Ya",E20="Tidak"),"GUGUR",IF(E20="Ya","Memenuhi","Informasi – perhatikan")))</f>
        <v/>
      </c>
      <c r="H20" s="14" t="n"/>
    </row>
    <row r="21" ht="32" customHeight="1">
      <c r="A21" s="12" t="inlineStr">
        <is>
          <t>A8</t>
        </is>
      </c>
      <c r="B21" s="13" t="inlineStr">
        <is>
          <t>Surat pengantar/izin magang dari kampus tersedia.</t>
        </is>
      </c>
      <c r="C21" s="13" t="n"/>
      <c r="D21" s="14" t="n"/>
      <c r="E21" s="15" t="n"/>
      <c r="F21" s="15" t="inlineStr">
        <is>
          <t>Tidak</t>
        </is>
      </c>
      <c r="G21" s="12">
        <f>IF(E21="","Belum diisi",IF(AND(F21="Ya",E21="Tidak"),"GUGUR",IF(E21="Ya","Memenuhi","Informasi – perhatikan")))</f>
        <v/>
      </c>
      <c r="H21" s="14" t="n"/>
    </row>
    <row r="22" ht="20" customHeight="1">
      <c r="A22" s="7" t="inlineStr">
        <is>
          <t>Status Syarat:</t>
        </is>
      </c>
      <c r="B22" s="7" t="n"/>
      <c r="C22" s="7" t="n"/>
      <c r="D22" s="16">
        <f>IF(COUNTBLANK(E14:E21)&gt;0,"BELUM LENGKAP",IF(COUNTIFS(E14:E21,"Tidak",F14:F21,"Ya")&gt;0,"GUGUR","MEMENUHI"))</f>
        <v/>
      </c>
      <c r="E22" s="16" t="n"/>
      <c r="F22" s="17" t="inlineStr">
        <is>
          <t>Kolom 'Bersifat Gugur?' dapat diubah sesuai kebijakan KAP.</t>
        </is>
      </c>
      <c r="G22" s="17" t="n"/>
      <c r="H22" s="17" t="n"/>
    </row>
    <row r="24" ht="20" customHeight="1">
      <c r="A24" s="3" t="inlineStr">
        <is>
          <t>BAGIAN B — PENILAIAN KOMPETENSI (skala 1–4; gunakan sheet 'Kunci &amp; Rubrik' sebagai acuan skor)</t>
        </is>
      </c>
      <c r="B24" s="3" t="n"/>
      <c r="C24" s="3" t="n"/>
      <c r="D24" s="3" t="n"/>
      <c r="E24" s="3" t="n"/>
      <c r="F24" s="3" t="n"/>
      <c r="G24" s="3" t="n"/>
      <c r="H24" s="3" t="n"/>
    </row>
    <row r="25">
      <c r="A25" s="10" t="inlineStr">
        <is>
          <t>No.</t>
        </is>
      </c>
      <c r="B25" s="10" t="inlineStr">
        <is>
          <t>Kompetensi</t>
        </is>
      </c>
      <c r="C25" s="10" t="inlineStr">
        <is>
          <t>Pertanyaan</t>
        </is>
      </c>
      <c r="D25" s="10" t="inlineStr">
        <is>
          <t>Ringkasan Jawaban Kandidat</t>
        </is>
      </c>
      <c r="E25" s="10" t="inlineStr">
        <is>
          <t>Skor (1–4)</t>
        </is>
      </c>
      <c r="F25" s="10" t="inlineStr">
        <is>
          <t>Bobot (%)</t>
        </is>
      </c>
      <c r="G25" s="10" t="inlineStr">
        <is>
          <t>Nilai Tertimbang</t>
        </is>
      </c>
      <c r="H25" s="10" t="inlineStr">
        <is>
          <t>Catatan / Bukti Interviewer</t>
        </is>
      </c>
    </row>
    <row r="26" ht="62" customHeight="1">
      <c r="A26" s="12" t="inlineStr">
        <is>
          <t>B1</t>
        </is>
      </c>
      <c r="B26" s="13" t="inlineStr">
        <is>
          <t>Akuntansi</t>
        </is>
      </c>
      <c r="C26" s="13" t="inlineStr">
        <is>
          <t>PT ABC membeli persediaan barang dagang secara kredit Rp10.000.000. Dua minggu kemudian PT ABC membayar 60% utangnya. Buatkan jurnal kedua transaksi tersebut dan jelaskan dampaknya terhadap pos neraca.</t>
        </is>
      </c>
      <c r="D26" s="14" t="n"/>
      <c r="E26" s="18" t="n"/>
      <c r="F26" s="12" t="n">
        <v>7</v>
      </c>
      <c r="G26" s="19">
        <f>IF(E26="","",(E26-1)/3*F26)</f>
        <v/>
      </c>
      <c r="H26" s="14" t="n"/>
    </row>
    <row r="27" ht="62" customHeight="1">
      <c r="A27" s="12" t="inlineStr">
        <is>
          <t>B2</t>
        </is>
      </c>
      <c r="B27" s="13" t="inlineStr">
        <is>
          <t>Akuntansi</t>
        </is>
      </c>
      <c r="C27" s="13" t="inlineStr">
        <is>
          <t>Kendaraan operasional dibeli 1 Januari 2025 seharga Rp240.000.000, umur manfaat 4 tahun, tanpa nilai residu, metode garis lurus. Berapa beban penyusutan per tahun dan nilai buku per 31 Desember 2026? Mengapa tanah tidak disusutkan?</t>
        </is>
      </c>
      <c r="D27" s="14" t="n"/>
      <c r="E27" s="18" t="n"/>
      <c r="F27" s="12" t="n">
        <v>7</v>
      </c>
      <c r="G27" s="19">
        <f>IF(E27="","",(E27-1)/3*F27)</f>
        <v/>
      </c>
      <c r="H27" s="14" t="n"/>
    </row>
    <row r="28" ht="48" customHeight="1">
      <c r="A28" s="12" t="inlineStr">
        <is>
          <t>B3</t>
        </is>
      </c>
      <c r="B28" s="13" t="inlineStr">
        <is>
          <t>Akuntansi</t>
        </is>
      </c>
      <c r="C28" s="13" t="inlineStr">
        <is>
          <t>Sebutkan dokumen yang umumnya muncul dalam siklus pembelian, mulai dari permintaan barang sampai pembayaran ke pemasok.</t>
        </is>
      </c>
      <c r="D28" s="14" t="n"/>
      <c r="E28" s="18" t="n"/>
      <c r="F28" s="12" t="n">
        <v>6</v>
      </c>
      <c r="G28" s="19">
        <f>IF(E28="","",(E28-1)/3*F28)</f>
        <v/>
      </c>
      <c r="H28" s="14" t="n"/>
    </row>
    <row r="29" ht="62" customHeight="1">
      <c r="A29" s="12" t="inlineStr">
        <is>
          <t>B4</t>
        </is>
      </c>
      <c r="B29" s="13" t="inlineStr">
        <is>
          <t>Audit Lapangan</t>
        </is>
      </c>
      <c r="C29" s="13" t="inlineStr">
        <is>
          <t>Anda diminta melakukan vouching atas 25 transaksi penambahan aset tetap yang tercatat di buku besar. Apa langkah Anda dan dokumen apa yang Anda periksa? Apa perbedaan vouching dengan tracing?</t>
        </is>
      </c>
      <c r="D29" s="14" t="n"/>
      <c r="E29" s="18" t="n"/>
      <c r="F29" s="12" t="n">
        <v>9</v>
      </c>
      <c r="G29" s="19">
        <f>IF(E29="","",(E29-1)/3*F29)</f>
        <v/>
      </c>
      <c r="H29" s="14" t="n"/>
    </row>
    <row r="30" ht="62" customHeight="1">
      <c r="A30" s="12" t="inlineStr">
        <is>
          <t>B5</t>
        </is>
      </c>
      <c r="B30" s="13" t="inlineStr">
        <is>
          <t>Audit Lapangan</t>
        </is>
      </c>
      <c r="C30" s="13" t="inlineStr">
        <is>
          <t>Saat vouching, nilai di invoice Rp15.500.000, sedangkan di buku besar tercatat Rp15.000.000. Invoice tersebut juga tidak ditandatangani pejabat yang berwenang. Apa yang Anda lakukan?</t>
        </is>
      </c>
      <c r="D30" s="14" t="n"/>
      <c r="E30" s="18" t="n"/>
      <c r="F30" s="12" t="n">
        <v>7</v>
      </c>
      <c r="G30" s="19">
        <f>IF(E30="","",(E30-1)/3*F30)</f>
        <v/>
      </c>
      <c r="H30" s="14" t="n"/>
    </row>
    <row r="31" ht="48" customHeight="1">
      <c r="A31" s="12" t="inlineStr">
        <is>
          <t>B6</t>
        </is>
      </c>
      <c r="B31" s="13" t="inlineStr">
        <is>
          <t>Audit Lapangan</t>
        </is>
      </c>
      <c r="C31" s="13" t="inlineStr">
        <is>
          <t>Anda ikut observasi stock opname di gudang klien. Apa yang harus Anda perhatikan sebelum, saat, dan setelah penghitungan?</t>
        </is>
      </c>
      <c r="D31" s="14" t="n"/>
      <c r="E31" s="18" t="n"/>
      <c r="F31" s="12" t="n">
        <v>8</v>
      </c>
      <c r="G31" s="19">
        <f>IF(E31="","",(E31-1)/3*F31)</f>
        <v/>
      </c>
      <c r="H31" s="14" t="n"/>
    </row>
    <row r="32" ht="48" customHeight="1">
      <c r="A32" s="12" t="inlineStr">
        <is>
          <t>B7</t>
        </is>
      </c>
      <c r="B32" s="13" t="inlineStr">
        <is>
          <t>Audit Lapangan</t>
        </is>
      </c>
      <c r="C32" s="13" t="inlineStr">
        <is>
          <t>Hasil hitung fisik suatu barang 480 unit, sedangkan kartu stok menunjukkan 500 unit. Apa kemungkinan penyebabnya dan apa yang Anda lakukan?</t>
        </is>
      </c>
      <c r="D32" s="14" t="n"/>
      <c r="E32" s="18" t="n"/>
      <c r="F32" s="12" t="n">
        <v>5</v>
      </c>
      <c r="G32" s="19">
        <f>IF(E32="","",(E32-1)/3*F32)</f>
        <v/>
      </c>
      <c r="H32" s="14" t="n"/>
    </row>
    <row r="33" ht="48" customHeight="1">
      <c r="A33" s="12" t="inlineStr">
        <is>
          <t>B8</t>
        </is>
      </c>
      <c r="B33" s="13" t="inlineStr">
        <is>
          <t>Audit Lapangan</t>
        </is>
      </c>
      <c r="C33" s="13" t="inlineStr">
        <is>
          <t>Saat pemeriksaan fisik aset tetap di lokasi klien, apa saja yang Anda cocokkan antara daftar aset tetap dan kondisi di lapangan?</t>
        </is>
      </c>
      <c r="D33" s="14" t="n"/>
      <c r="E33" s="18" t="n"/>
      <c r="F33" s="12" t="n">
        <v>6</v>
      </c>
      <c r="G33" s="19">
        <f>IF(E33="","",(E33-1)/3*F33)</f>
        <v/>
      </c>
      <c r="H33" s="14" t="n"/>
    </row>
    <row r="34" ht="48" customHeight="1">
      <c r="A34" s="12" t="inlineStr">
        <is>
          <t>B9</t>
        </is>
      </c>
      <c r="B34" s="13" t="inlineStr">
        <is>
          <t>Excel</t>
        </is>
      </c>
      <c r="C34" s="13" t="inlineStr">
        <is>
          <t>Tes praktik Excel (file Tes_Praktik_Excel_Kandidat.xlsx, maksimal 15 menit, kandidat menggunakan laptop).</t>
        </is>
      </c>
      <c r="D34" s="14" t="n"/>
      <c r="E34" s="18" t="n"/>
      <c r="F34" s="12" t="n">
        <v>10</v>
      </c>
      <c r="G34" s="19">
        <f>IF(E34="","",(E34-1)/3*F34)</f>
        <v/>
      </c>
      <c r="H34" s="14" t="n"/>
    </row>
    <row r="35" ht="48" customHeight="1">
      <c r="A35" s="12" t="inlineStr">
        <is>
          <t>B10</t>
        </is>
      </c>
      <c r="B35" s="13" t="inlineStr">
        <is>
          <t>Excel</t>
        </is>
      </c>
      <c r="C35" s="13" t="inlineStr">
        <is>
          <t>Bagaimana Anda memastikan angka total di kertas kerja Excel sudah benar dan sesuai dengan sumbernya?</t>
        </is>
      </c>
      <c r="D35" s="14" t="n"/>
      <c r="E35" s="18" t="n"/>
      <c r="F35" s="12" t="n">
        <v>5</v>
      </c>
      <c r="G35" s="19">
        <f>IF(E35="","",(E35-1)/3*F35)</f>
        <v/>
      </c>
      <c r="H35" s="14" t="n"/>
    </row>
    <row r="36" ht="48" customHeight="1">
      <c r="A36" s="12" t="inlineStr">
        <is>
          <t>B11</t>
        </is>
      </c>
      <c r="B36" s="13" t="inlineStr">
        <is>
          <t>Integritas &amp; Kerahasiaan</t>
        </is>
      </c>
      <c r="C36" s="13" t="inlineStr">
        <is>
          <t>Teman kuliah menanyakan nama klien yang Anda kunjungi dan berapa laba perusahaannya, katanya untuk bahan skripsi. Bagaimana respons Anda?</t>
        </is>
      </c>
      <c r="D36" s="14" t="n"/>
      <c r="E36" s="18" t="n"/>
      <c r="F36" s="12" t="n">
        <v>6</v>
      </c>
      <c r="G36" s="19">
        <f>IF(E36="","",(E36-1)/3*F36)</f>
        <v/>
      </c>
      <c r="H36" s="14" t="n"/>
    </row>
    <row r="37" ht="48" customHeight="1">
      <c r="A37" s="12" t="inlineStr">
        <is>
          <t>B12</t>
        </is>
      </c>
      <c r="B37" s="13" t="inlineStr">
        <is>
          <t>Integritas &amp; Kerahasiaan</t>
        </is>
      </c>
      <c r="C37" s="13" t="inlineStr">
        <is>
          <t>Staf klien meminta Anda tidak mencatat selisih stok karena 'nanti akan diperbaiki', lalu menawarkan oleh-oleh. Apa yang Anda lakukan?</t>
        </is>
      </c>
      <c r="D37" s="14" t="n"/>
      <c r="E37" s="18" t="n"/>
      <c r="F37" s="12" t="n">
        <v>5</v>
      </c>
      <c r="G37" s="19">
        <f>IF(E37="","",(E37-1)/3*F37)</f>
        <v/>
      </c>
      <c r="H37" s="14" t="n"/>
    </row>
    <row r="38" ht="48" customHeight="1">
      <c r="A38" s="12" t="inlineStr">
        <is>
          <t>B13</t>
        </is>
      </c>
      <c r="B38" s="13" t="inlineStr">
        <is>
          <t>Integritas &amp; Kerahasiaan</t>
        </is>
      </c>
      <c r="C38" s="13" t="inlineStr">
        <is>
          <t>Setelah kertas kerja diserahkan, Anda sadar ada 3 dokumen yang belum benar-benar Anda periksa padahal sudah Anda beri tickmark. Apa yang Anda lakukan?</t>
        </is>
      </c>
      <c r="D38" s="14" t="n"/>
      <c r="E38" s="18" t="n"/>
      <c r="F38" s="12" t="n">
        <v>4</v>
      </c>
      <c r="G38" s="19">
        <f>IF(E38="","",(E38-1)/3*F38)</f>
        <v/>
      </c>
      <c r="H38" s="14" t="n"/>
    </row>
    <row r="39" ht="48" customHeight="1">
      <c r="A39" s="12" t="inlineStr">
        <is>
          <t>B14</t>
        </is>
      </c>
      <c r="B39" s="13" t="inlineStr">
        <is>
          <t>Sikap Kerja</t>
        </is>
      </c>
      <c r="C39" s="13" t="inlineStr">
        <is>
          <t>Bagaimana cara Anda memeriksa ulang pekerjaan sebelum diserahkan? Beri contoh nyata dari tugas kuliah atau organisasi.</t>
        </is>
      </c>
      <c r="D39" s="14" t="n"/>
      <c r="E39" s="18" t="n"/>
      <c r="F39" s="12" t="n">
        <v>4</v>
      </c>
      <c r="G39" s="19">
        <f>IF(E39="","",(E39-1)/3*F39)</f>
        <v/>
      </c>
      <c r="H39" s="14" t="n"/>
    </row>
    <row r="40" ht="48" customHeight="1">
      <c r="A40" s="12" t="inlineStr">
        <is>
          <t>B15</t>
        </is>
      </c>
      <c r="B40" s="13" t="inlineStr">
        <is>
          <t>Sikap Kerja</t>
        </is>
      </c>
      <c r="C40" s="13" t="inlineStr">
        <is>
          <t>Anda diberi tugas yang belum pernah dikerjakan, sementara senior sedang rapat dengan klien. Apa yang Anda lakukan?</t>
        </is>
      </c>
      <c r="D40" s="14" t="n"/>
      <c r="E40" s="18" t="n"/>
      <c r="F40" s="12" t="n">
        <v>4</v>
      </c>
      <c r="G40" s="19">
        <f>IF(E40="","",(E40-1)/3*F40)</f>
        <v/>
      </c>
      <c r="H40" s="14" t="n"/>
    </row>
    <row r="41" ht="48" customHeight="1">
      <c r="A41" s="12" t="inlineStr">
        <is>
          <t>B16</t>
        </is>
      </c>
      <c r="B41" s="13" t="inlineStr">
        <is>
          <t>Sikap Kerja</t>
        </is>
      </c>
      <c r="C41" s="13" t="inlineStr">
        <is>
          <t>Ceritakan pengalaman ketika pekerjaan Anda dikritik atau dikoreksi. Apa yang Anda lakukan setelahnya?</t>
        </is>
      </c>
      <c r="D41" s="14" t="n"/>
      <c r="E41" s="18" t="n"/>
      <c r="F41" s="12" t="n">
        <v>3</v>
      </c>
      <c r="G41" s="19">
        <f>IF(E41="","",(E41-1)/3*F41)</f>
        <v/>
      </c>
      <c r="H41" s="14" t="n"/>
    </row>
    <row r="42" ht="48" customHeight="1">
      <c r="A42" s="12" t="inlineStr">
        <is>
          <t>B17</t>
        </is>
      </c>
      <c r="B42" s="13" t="inlineStr">
        <is>
          <t>Sikap Kerja</t>
        </is>
      </c>
      <c r="C42" s="13" t="inlineStr">
        <is>
          <t>Apa yang Anda ketahui tentang pekerjaan auditor sehari-hari, dan apa yang ingin Anda peroleh dari magang 3 bulan ini?</t>
        </is>
      </c>
      <c r="D42" s="14" t="n"/>
      <c r="E42" s="18" t="n"/>
      <c r="F42" s="12" t="n">
        <v>4</v>
      </c>
      <c r="G42" s="19">
        <f>IF(E42="","",(E42-1)/3*F42)</f>
        <v/>
      </c>
      <c r="H42" s="14" t="n"/>
    </row>
    <row r="43">
      <c r="A43" s="10" t="inlineStr">
        <is>
          <t>Total</t>
        </is>
      </c>
      <c r="B43" s="10" t="n"/>
      <c r="C43" s="10" t="n"/>
      <c r="D43" s="10" t="n"/>
      <c r="E43" s="10">
        <f>COUNT(E26:E42)&amp;" / "&amp;COUNTA(C26:C42)</f>
        <v/>
      </c>
      <c r="F43" s="10">
        <f>SUM(F26:F42)</f>
        <v/>
      </c>
      <c r="G43" s="20">
        <f>SUM(G26:G42)</f>
        <v/>
      </c>
      <c r="H43" s="10">
        <f>IF(F43=100,"Bobot total 100% – OK","PERIKSA: bobot total bukan 100%")</f>
        <v/>
      </c>
    </row>
    <row r="45" ht="20" customHeight="1">
      <c r="A45" s="3" t="inlineStr">
        <is>
          <t>RINGKASAN PENILAIAN &amp; REKOMENDASI</t>
        </is>
      </c>
      <c r="B45" s="3" t="n"/>
      <c r="C45" s="3" t="n"/>
      <c r="D45" s="3" t="n"/>
      <c r="E45" s="3" t="n"/>
      <c r="F45" s="3" t="n"/>
      <c r="G45" s="3" t="n"/>
      <c r="H45" s="3" t="n"/>
    </row>
    <row r="46">
      <c r="A46" s="10" t="inlineStr"/>
      <c r="B46" s="10" t="inlineStr">
        <is>
          <t>Kelompok Kompetensi</t>
        </is>
      </c>
      <c r="C46" s="11" t="n"/>
      <c r="D46" s="10" t="inlineStr">
        <is>
          <t>Bobot (%)</t>
        </is>
      </c>
      <c r="E46" s="10" t="inlineStr">
        <is>
          <t>Indeks (0–100)</t>
        </is>
      </c>
      <c r="F46" s="10" t="inlineStr">
        <is>
          <t>Keterangan</t>
        </is>
      </c>
      <c r="G46" s="21" t="n"/>
      <c r="H46" s="11" t="n"/>
    </row>
    <row r="47">
      <c r="A47" s="12" t="n"/>
      <c r="B47" s="22" t="inlineStr">
        <is>
          <t>Akuntansi</t>
        </is>
      </c>
      <c r="C47" s="12" t="n"/>
      <c r="D47" s="12">
        <f>SUMIF($B$26:$B$42,B47,$F$26:$F$42)</f>
        <v/>
      </c>
      <c r="E47" s="23">
        <f>IF(COUNTIFS($B$26:$B$42,B47,$E$26:$E$42,"&gt;=1")&lt;COUNTIF($B$26:$B$42,B47),"",SUMIF($B$26:$B$42,B47,$G$26:$G$42)/D47*100)</f>
        <v/>
      </c>
      <c r="F47" s="24" t="inlineStr">
        <is>
          <t>Bersama Audit Lapangan membentuk indeks teknis.</t>
        </is>
      </c>
      <c r="G47" s="12" t="n"/>
      <c r="H47" s="12" t="n"/>
    </row>
    <row r="48">
      <c r="A48" s="12" t="n"/>
      <c r="B48" s="22" t="inlineStr">
        <is>
          <t>Audit Lapangan</t>
        </is>
      </c>
      <c r="C48" s="12" t="n"/>
      <c r="D48" s="12">
        <f>SUMIF($B$26:$B$42,B48,$F$26:$F$42)</f>
        <v/>
      </c>
      <c r="E48" s="23">
        <f>IF(COUNTIFS($B$26:$B$42,B48,$E$26:$E$42,"&gt;=1")&lt;COUNTIF($B$26:$B$42,B48),"",SUMIF($B$26:$B$42,B48,$G$26:$G$42)/D48*100)</f>
        <v/>
      </c>
      <c r="F48" s="24" t="inlineStr">
        <is>
          <t>Bobot terbesar: sesuai tugas utama magang (vouching, stock opname, aset tetap).</t>
        </is>
      </c>
      <c r="G48" s="12" t="n"/>
      <c r="H48" s="12" t="n"/>
    </row>
    <row r="49">
      <c r="A49" s="12" t="n"/>
      <c r="B49" s="22" t="inlineStr">
        <is>
          <t>Excel</t>
        </is>
      </c>
      <c r="C49" s="12" t="n"/>
      <c r="D49" s="12">
        <f>SUMIF($B$26:$B$42,B49,$F$26:$F$42)</f>
        <v/>
      </c>
      <c r="E49" s="23">
        <f>IF(COUNTIFS($B$26:$B$42,B49,$E$26:$E$42,"&gt;=1")&lt;COUNTIF($B$26:$B$42,B49),"",SUMIF($B$26:$B$42,B49,$G$26:$G$42)/D49*100)</f>
        <v/>
      </c>
      <c r="F49" s="12" t="n"/>
      <c r="G49" s="12" t="n"/>
      <c r="H49" s="12" t="n"/>
    </row>
    <row r="50">
      <c r="A50" s="12" t="n"/>
      <c r="B50" s="22" t="inlineStr">
        <is>
          <t>Integritas &amp; Kerahasiaan</t>
        </is>
      </c>
      <c r="C50" s="12" t="n"/>
      <c r="D50" s="12">
        <f>SUMIF($B$26:$B$42,B50,$F$26:$F$42)</f>
        <v/>
      </c>
      <c r="E50" s="23">
        <f>IF(COUNTIFS($B$26:$B$42,B50,$E$26:$E$42,"&gt;=1")&lt;COUNTIF($B$26:$B$42,B50),"",SUMIF($B$26:$B$42,B50,$G$26:$G$42)/D50*100)</f>
        <v/>
      </c>
      <c r="F50" s="24" t="inlineStr">
        <is>
          <t>Skor 1 pada salah satu pertanyaan = red flag (lihat Parameter).</t>
        </is>
      </c>
      <c r="G50" s="12" t="n"/>
      <c r="H50" s="12" t="n"/>
    </row>
    <row r="51">
      <c r="A51" s="12" t="n"/>
      <c r="B51" s="22" t="inlineStr">
        <is>
          <t>Sikap Kerja</t>
        </is>
      </c>
      <c r="C51" s="12" t="n"/>
      <c r="D51" s="12">
        <f>SUMIF($B$26:$B$42,B51,$F$26:$F$42)</f>
        <v/>
      </c>
      <c r="E51" s="23">
        <f>IF(COUNTIFS($B$26:$B$42,B51,$E$26:$E$42,"&gt;=1")&lt;COUNTIF($B$26:$B$42,B51),"",SUMIF($B$26:$B$42,B51,$G$26:$G$42)/D51*100)</f>
        <v/>
      </c>
      <c r="F51" s="12" t="n"/>
      <c r="G51" s="12" t="n"/>
      <c r="H51" s="12" t="n"/>
    </row>
    <row r="52">
      <c r="A52" s="16" t="n"/>
      <c r="B52" s="7" t="inlineStr">
        <is>
          <t>Indeks Teknis (Akuntansi + Audit Lapangan)</t>
        </is>
      </c>
      <c r="C52" s="16" t="n"/>
      <c r="D52" s="16" t="n"/>
      <c r="E52" s="25">
        <f>IF(OR(E47="",E48=""),"",(SUMIF($B$26:$B$42,B47,$G$26:$G$42)+SUMIF($B$26:$B$42,B48,$G$26:$G$42))/(D47+D48)*100)</f>
        <v/>
      </c>
      <c r="F52" s="24">
        <f>IF(E52="","",IF(E52&lt;Parameter!$C$7,"Di bawah minimum ("&amp;Parameter!$C$7&amp;")","Memenuhi minimum ("&amp;Parameter!$C$7&amp;")"))</f>
        <v/>
      </c>
      <c r="G52" s="16" t="n"/>
      <c r="H52" s="16" t="n"/>
    </row>
    <row r="53">
      <c r="A53" s="16" t="n"/>
      <c r="B53" s="7" t="inlineStr">
        <is>
          <t>Red Flag Integritas</t>
        </is>
      </c>
      <c r="C53" s="16" t="n"/>
      <c r="D53" s="16" t="n"/>
      <c r="E53" s="25">
        <f>IF(COUNTIFS($B$26:$B$42,B50,$E$26:$E$42,"&gt;=1")&lt;COUNTIF($B$26:$B$42,B50),"",IF(COUNTIFS($B$26:$B$42,B50,$E$26:$E$42,"&lt;"&amp;Parameter!$C$8)&gt;0,"YA","TIDAK"))</f>
        <v/>
      </c>
      <c r="F53" s="24" t="inlineStr">
        <is>
          <t>Ya = ada pertanyaan integritas dengan skor di bawah minimum.</t>
        </is>
      </c>
      <c r="G53" s="16" t="n"/>
      <c r="H53" s="16" t="n"/>
    </row>
    <row r="54">
      <c r="A54" s="16" t="n"/>
      <c r="B54" s="7" t="inlineStr">
        <is>
          <t>Status Syarat (Bagian A)</t>
        </is>
      </c>
      <c r="C54" s="16" t="n"/>
      <c r="D54" s="16" t="n"/>
      <c r="E54" s="25">
        <f>$D$22</f>
        <v/>
      </c>
      <c r="F54" s="24" t="inlineStr"/>
      <c r="G54" s="16" t="n"/>
      <c r="H54" s="16" t="n"/>
    </row>
    <row r="55">
      <c r="A55" s="16" t="n"/>
      <c r="B55" s="7" t="inlineStr">
        <is>
          <t>NILAI AKHIR (0–100)</t>
        </is>
      </c>
      <c r="C55" s="16" t="n"/>
      <c r="D55" s="16" t="n"/>
      <c r="E55" s="26">
        <f>IF(COUNT($E$26:$E$42)=COUNTA($C$26:$C$42),G43,"")</f>
        <v/>
      </c>
      <c r="F55" s="24" t="inlineStr"/>
      <c r="G55" s="16" t="n"/>
      <c r="H55" s="16" t="n"/>
    </row>
    <row r="56" ht="24" customHeight="1">
      <c r="A56" s="16" t="n"/>
      <c r="B56" s="7" t="inlineStr">
        <is>
          <t>REKOMENDASI SISTEM</t>
        </is>
      </c>
      <c r="C56" s="16" t="n"/>
      <c r="D56" s="16" t="n"/>
      <c r="E56" s="27">
        <f>IF(E54="BELUM LENGKAP","LENGKAPI BAGIAN A",IF(E54="GUGUR","TIDAK LOLOS – SYARAT GUGUR",IF(NOT(COUNT($E$26:$E$42)=COUNTA($C$26:$C$42)),"LENGKAPI PENILAIAN",IF(E53="YA","TIDAK DIREKOMENDASIKAN – RED FLAG INTEGRITAS",IF(E52&lt;Parameter!$C$7,"TIDAK DIREKOMENDASIKAN – TEKNIS DI BAWAH MINIMUM",IF(E55&gt;=Parameter!$C$4,"SANGAT DIREKOMENDASIKAN",IF(E55&gt;=Parameter!$C$5,"DIREKOMENDASIKAN",IF(E55&gt;=Parameter!$C$6,"DIPERTIMBANGKAN","TIDAK DIREKOMENDASIKAN"))))))))</f>
        <v/>
      </c>
      <c r="F56" s="16" t="n"/>
      <c r="G56" s="16" t="n"/>
      <c r="H56" s="16" t="n"/>
    </row>
    <row r="57">
      <c r="A57" s="22" t="n"/>
      <c r="B57" s="7" t="inlineStr">
        <is>
          <t>Rekomendasi Interviewer</t>
        </is>
      </c>
      <c r="C57" s="22" t="n"/>
      <c r="D57" s="22" t="n"/>
      <c r="E57" s="8" t="n"/>
      <c r="F57" s="8" t="n"/>
      <c r="G57" s="8" t="n"/>
      <c r="H57" s="8" t="n"/>
    </row>
    <row r="58" ht="40" customHeight="1">
      <c r="A58" s="22" t="n"/>
      <c r="B58" s="7" t="inlineStr">
        <is>
          <t>Alasan (wajib jika berbeda dari rekomendasi sistem)</t>
        </is>
      </c>
      <c r="C58" s="22" t="n"/>
      <c r="D58" s="22" t="n"/>
      <c r="E58" s="8" t="n"/>
      <c r="F58" s="8" t="n"/>
      <c r="G58" s="8" t="n"/>
      <c r="H58" s="8" t="n"/>
    </row>
    <row r="60" ht="20" customHeight="1">
      <c r="A60" s="3" t="inlineStr">
        <is>
          <t>CATATAN AKHIR INTERVIEWER (kekuatan, area pengembangan, kesesuaian penugasan)</t>
        </is>
      </c>
      <c r="B60" s="3" t="n"/>
      <c r="C60" s="3" t="n"/>
      <c r="D60" s="3" t="n"/>
      <c r="E60" s="3" t="n"/>
      <c r="F60" s="3" t="n"/>
      <c r="G60" s="3" t="n"/>
      <c r="H60" s="3" t="n"/>
    </row>
    <row r="61" ht="22" customHeight="1">
      <c r="A61" s="14" t="n"/>
      <c r="B61" s="14" t="n"/>
      <c r="C61" s="14" t="n"/>
      <c r="D61" s="14" t="n"/>
      <c r="E61" s="14" t="n"/>
      <c r="F61" s="14" t="n"/>
      <c r="G61" s="14" t="n"/>
      <c r="H61" s="14" t="n"/>
    </row>
    <row r="62" ht="22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</row>
    <row r="63" ht="22" customHeight="1">
      <c r="A63" s="14" t="n"/>
      <c r="B63" s="14" t="n"/>
      <c r="C63" s="14" t="n"/>
      <c r="D63" s="14" t="n"/>
      <c r="E63" s="14" t="n"/>
      <c r="F63" s="14" t="n"/>
      <c r="G63" s="14" t="n"/>
      <c r="H63" s="14" t="n"/>
    </row>
    <row r="65" ht="20" customHeight="1">
      <c r="A65" s="3" t="inlineStr">
        <is>
          <t>PENGESAHAN</t>
        </is>
      </c>
      <c r="B65" s="3" t="n"/>
      <c r="C65" s="3" t="n"/>
      <c r="D65" s="3" t="n"/>
      <c r="E65" s="3" t="n"/>
      <c r="F65" s="3" t="n"/>
      <c r="G65" s="3" t="n"/>
      <c r="H65" s="3" t="n"/>
    </row>
    <row r="66">
      <c r="A66" s="10" t="inlineStr"/>
      <c r="B66" s="10" t="inlineStr">
        <is>
          <t>Peran</t>
        </is>
      </c>
      <c r="C66" s="11" t="n"/>
      <c r="D66" s="10" t="inlineStr">
        <is>
          <t>Nama</t>
        </is>
      </c>
      <c r="E66" s="10" t="inlineStr">
        <is>
          <t>Tanggal</t>
        </is>
      </c>
      <c r="F66" s="10" t="inlineStr">
        <is>
          <t>Tanda Tangan</t>
        </is>
      </c>
      <c r="G66" s="11" t="n"/>
      <c r="H66" s="10" t="inlineStr">
        <is>
          <t>Keputusan Akhir</t>
        </is>
      </c>
    </row>
    <row r="67" ht="34" customHeight="1">
      <c r="A67" s="22" t="n"/>
      <c r="B67" s="7" t="inlineStr">
        <is>
          <t>Interviewer</t>
        </is>
      </c>
      <c r="C67" s="22" t="n"/>
      <c r="D67" s="8" t="n"/>
      <c r="E67" s="28" t="n"/>
      <c r="F67" s="8" t="n"/>
      <c r="G67" s="22" t="n"/>
      <c r="H67" s="12" t="inlineStr">
        <is>
          <t>—</t>
        </is>
      </c>
    </row>
    <row r="68" ht="34" customHeight="1">
      <c r="A68" s="22" t="n"/>
      <c r="B68" s="7" t="inlineStr">
        <is>
          <t>Disetujui oleh (Manajer/Partner)</t>
        </is>
      </c>
      <c r="C68" s="22" t="n"/>
      <c r="D68" s="8" t="n"/>
      <c r="E68" s="28" t="n"/>
      <c r="F68" s="8" t="n"/>
      <c r="G68" s="22" t="n"/>
      <c r="H68" s="29" t="n"/>
    </row>
    <row r="70" ht="20" customHeight="1">
      <c r="A70" s="3" t="inlineStr">
        <is>
          <t>DATA UNTUK REKAP — salin baris di bawah, lalu Paste Values ke sheet 'Rekap Kandidat' (kolom B s.d. P)</t>
        </is>
      </c>
      <c r="B70" s="3" t="n"/>
      <c r="C70" s="3" t="n"/>
      <c r="D70" s="3" t="n"/>
      <c r="E70" s="3" t="n"/>
      <c r="F70" s="3" t="n"/>
      <c r="G70" s="3" t="n"/>
      <c r="H70" s="3" t="n"/>
    </row>
    <row r="71">
      <c r="A71" s="10" t="inlineStr">
        <is>
          <t>Nama Mahasiswa</t>
        </is>
      </c>
      <c r="B71" s="10" t="inlineStr">
        <is>
          <t>Universitas</t>
        </is>
      </c>
      <c r="C71" s="10" t="inlineStr">
        <is>
          <t>Interviewer</t>
        </is>
      </c>
      <c r="D71" s="10" t="inlineStr">
        <is>
          <t>Tgl Wawancara</t>
        </is>
      </c>
      <c r="E71" s="10" t="inlineStr">
        <is>
          <t>Status Syarat</t>
        </is>
      </c>
      <c r="F71" s="10" t="inlineStr">
        <is>
          <t>Akuntansi</t>
        </is>
      </c>
      <c r="G71" s="10" t="inlineStr">
        <is>
          <t>Audit Lapangan</t>
        </is>
      </c>
      <c r="H71" s="10" t="inlineStr">
        <is>
          <t>Excel</t>
        </is>
      </c>
    </row>
    <row r="72" ht="30" customHeight="1">
      <c r="A72" s="12">
        <f>IF(C5="","",C5)</f>
        <v/>
      </c>
      <c r="B72" s="12">
        <f>IF(C7="","",C7)</f>
        <v/>
      </c>
      <c r="C72" s="12">
        <f>IF(G6="","",G6)</f>
        <v/>
      </c>
      <c r="D72" s="30">
        <f>IF(G5="","",G5)</f>
        <v/>
      </c>
      <c r="E72" s="12">
        <f>E54</f>
        <v/>
      </c>
      <c r="F72" s="23">
        <f>E47</f>
        <v/>
      </c>
      <c r="G72" s="23">
        <f>E48</f>
        <v/>
      </c>
      <c r="H72" s="23">
        <f>E49</f>
        <v/>
      </c>
    </row>
    <row r="73">
      <c r="A73" s="10" t="inlineStr">
        <is>
          <t>Integritas</t>
        </is>
      </c>
      <c r="B73" s="10" t="inlineStr">
        <is>
          <t>Sikap Kerja</t>
        </is>
      </c>
      <c r="C73" s="10" t="inlineStr">
        <is>
          <t>Indeks Teknis</t>
        </is>
      </c>
      <c r="D73" s="10" t="inlineStr">
        <is>
          <t>Nilai Akhir</t>
        </is>
      </c>
      <c r="E73" s="10" t="inlineStr">
        <is>
          <t>Rekomendasi Sistem</t>
        </is>
      </c>
      <c r="F73" s="10" t="inlineStr">
        <is>
          <t>Bersedia Luar Kota</t>
        </is>
      </c>
      <c r="G73" s="10" t="inlineStr">
        <is>
          <t>Keputusan Akhir</t>
        </is>
      </c>
    </row>
    <row r="74" ht="30" customHeight="1">
      <c r="A74" s="23">
        <f>E50</f>
        <v/>
      </c>
      <c r="B74" s="23">
        <f>E51</f>
        <v/>
      </c>
      <c r="C74" s="23">
        <f>E52</f>
        <v/>
      </c>
      <c r="D74" s="23">
        <f>E55</f>
        <v/>
      </c>
      <c r="E74" s="12">
        <f>E56</f>
        <v/>
      </c>
      <c r="F74" s="12">
        <f>IF(E20="","",E20)</f>
        <v/>
      </c>
      <c r="G74" s="12">
        <f>IF(H68="","",H68)</f>
        <v/>
      </c>
    </row>
    <row r="75">
      <c r="A75" s="31" t="inlineStr">
        <is>
          <t>Catatan: urutan 15 sel di atas (baris pertama kiri→kanan, lalu baris kedua) sama dengan urutan kolom B–P di sheet Rekap Kandidat.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80">
    <mergeCell ref="C6:D6"/>
    <mergeCell ref="B57:D57"/>
    <mergeCell ref="F68:G68"/>
    <mergeCell ref="D22:E22"/>
    <mergeCell ref="B53:D53"/>
    <mergeCell ref="E8:F8"/>
    <mergeCell ref="F47:H47"/>
    <mergeCell ref="B21:C21"/>
    <mergeCell ref="F22:H22"/>
    <mergeCell ref="A7:B7"/>
    <mergeCell ref="B67:C67"/>
    <mergeCell ref="B14:C14"/>
    <mergeCell ref="A75:H75"/>
    <mergeCell ref="B13:C13"/>
    <mergeCell ref="B49:C49"/>
    <mergeCell ref="B54:D54"/>
    <mergeCell ref="B51:C51"/>
    <mergeCell ref="B56:D56"/>
    <mergeCell ref="A9:B9"/>
    <mergeCell ref="F51:H51"/>
    <mergeCell ref="B16:C16"/>
    <mergeCell ref="A24:H24"/>
    <mergeCell ref="C5:D5"/>
    <mergeCell ref="F50:H50"/>
    <mergeCell ref="E5:F5"/>
    <mergeCell ref="A60:H60"/>
    <mergeCell ref="B66:C66"/>
    <mergeCell ref="B18:C18"/>
    <mergeCell ref="G7:H7"/>
    <mergeCell ref="F66:G66"/>
    <mergeCell ref="F49:H49"/>
    <mergeCell ref="A2:H2"/>
    <mergeCell ref="A8:B8"/>
    <mergeCell ref="C8:D8"/>
    <mergeCell ref="B15:C15"/>
    <mergeCell ref="A10:B10"/>
    <mergeCell ref="G9:H9"/>
    <mergeCell ref="F55:H55"/>
    <mergeCell ref="A70:H70"/>
    <mergeCell ref="A22:C22"/>
    <mergeCell ref="A61:H63"/>
    <mergeCell ref="F52:H52"/>
    <mergeCell ref="B17:C17"/>
    <mergeCell ref="E6:F6"/>
    <mergeCell ref="B19:C19"/>
    <mergeCell ref="A5:B5"/>
    <mergeCell ref="F53:H53"/>
    <mergeCell ref="C7:D7"/>
    <mergeCell ref="E7:F7"/>
    <mergeCell ref="B20:C20"/>
    <mergeCell ref="B47:C47"/>
    <mergeCell ref="E57:H57"/>
    <mergeCell ref="B46:C46"/>
    <mergeCell ref="A43:D43"/>
    <mergeCell ref="A1:H1"/>
    <mergeCell ref="G8:H8"/>
    <mergeCell ref="A45:H45"/>
    <mergeCell ref="A6:B6"/>
    <mergeCell ref="F46:H46"/>
    <mergeCell ref="B48:C48"/>
    <mergeCell ref="C10:D10"/>
    <mergeCell ref="E56:H56"/>
    <mergeCell ref="E10:F10"/>
    <mergeCell ref="A65:H65"/>
    <mergeCell ref="G10:H10"/>
    <mergeCell ref="E58:H58"/>
    <mergeCell ref="G6:H6"/>
    <mergeCell ref="C9:D9"/>
    <mergeCell ref="F48:H48"/>
    <mergeCell ref="E9:F9"/>
    <mergeCell ref="B55:D55"/>
    <mergeCell ref="A12:H12"/>
    <mergeCell ref="G5:H5"/>
    <mergeCell ref="F67:G67"/>
    <mergeCell ref="A4:H4"/>
    <mergeCell ref="F54:H54"/>
    <mergeCell ref="B68:C68"/>
    <mergeCell ref="B58:D58"/>
    <mergeCell ref="B52:D52"/>
    <mergeCell ref="B50:C50"/>
  </mergeCells>
  <conditionalFormatting sqref="G14:G21">
    <cfRule type="expression" priority="1" dxfId="0">
      <formula>G14="GUGUR"</formula>
    </cfRule>
    <cfRule type="expression" priority="2" dxfId="1">
      <formula>G14="Informasi – perhatikan"</formula>
    </cfRule>
  </conditionalFormatting>
  <conditionalFormatting sqref="D22">
    <cfRule type="expression" priority="3" dxfId="0">
      <formula>$D$22="GUGUR"</formula>
    </cfRule>
    <cfRule type="expression" priority="4" dxfId="2">
      <formula>$D$22="MEMENUHI"</formula>
    </cfRule>
  </conditionalFormatting>
  <conditionalFormatting sqref="E26:E42">
    <cfRule type="expression" priority="5" dxfId="3">
      <formula>AND(E26&lt;&gt;"",E26&lt;=1)</formula>
    </cfRule>
  </conditionalFormatting>
  <conditionalFormatting sqref="E56">
    <cfRule type="expression" priority="6" dxfId="0">
      <formula>LEFT($E$56,5)="TIDAK"</formula>
    </cfRule>
    <cfRule type="expression" priority="7" dxfId="2">
      <formula>OR($E$56="SANGAT DIREKOMENDASIKAN",$E$56="DIREKOMENDASIKAN")</formula>
    </cfRule>
    <cfRule type="expression" priority="8" dxfId="1">
      <formula>$E$56="DIPERTIMBANGKAN"</formula>
    </cfRule>
  </conditionalFormatting>
  <conditionalFormatting sqref="E53">
    <cfRule type="expression" priority="9" dxfId="0">
      <formula>$E$53="YA"</formula>
    </cfRule>
  </conditionalFormatting>
  <conditionalFormatting sqref="F52">
    <cfRule type="expression" priority="10" dxfId="4">
      <formula>LEFT($F$52,5)="Di ba"</formula>
    </cfRule>
  </conditionalFormatting>
  <conditionalFormatting sqref="H43">
    <cfRule type="expression" priority="11" dxfId="0">
      <formula>$F$43&lt;&gt;100</formula>
    </cfRule>
  </conditionalFormatting>
  <dataValidations count="4">
    <dataValidation sqref="E26:E42" showDropDown="0" showInputMessage="1" showErrorMessage="1" allowBlank="0" errorTitle="Skor tidak valid" error="Isi skor bulat 1, 2, 3, atau 4." promptTitle="Skor 1–4" prompt="1 = tidak memadai, 2 = sebagian, 3 = memadai, 4 = sangat baik. Lihat Kunci &amp; Rubrik." type="whole" operator="between">
      <formula1>1</formula1>
      <formula2>4</formula2>
    </dataValidation>
    <dataValidation sqref="E14:F21" showDropDown="0" showInputMessage="0" showErrorMessage="1" allowBlank="0" type="list">
      <formula1>"Ya,Tidak"</formula1>
    </dataValidation>
    <dataValidation sqref="E57" showDropDown="0" showInputMessage="0" showErrorMessage="1" allowBlank="0" type="list">
      <formula1>"SANGAT DIREKOMENDASIKAN,DIREKOMENDASIKAN,DIPERTIMBANGKAN,TIDAK DIREKOMENDASIKAN"</formula1>
    </dataValidation>
    <dataValidation sqref="H68" showDropDown="0" showInputMessage="0" showErrorMessage="1" allowBlank="0" type="list">
      <formula1>"Diterima,Cadangan,Tidak Diterima"</formula1>
    </dataValidation>
  </dataValidation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tabColor rgb="00BA6A36"/>
    <outlinePr summaryBelow="1" summaryRight="1"/>
    <pageSetUpPr fitToPage="1"/>
  </sheetPr>
  <dimension ref="A1:I31"/>
  <sheetViews>
    <sheetView showGridLines="0" workbookViewId="0">
      <pane xSplit="3" ySplit="14" topLeftCell="D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52" customWidth="1" min="4" max="4"/>
    <col width="24" customWidth="1" min="5" max="5"/>
    <col width="22" customWidth="1" min="6" max="6"/>
    <col width="22" customWidth="1" min="7" max="7"/>
    <col width="24" customWidth="1" min="8" max="8"/>
    <col width="28" customWidth="1" min="9" max="9"/>
  </cols>
  <sheetData>
    <row r="1" ht="30" customHeight="1">
      <c r="A1" s="1" t="inlineStr">
        <is>
          <t>KUNCI JAWABAN &amp; RUBRIK PENILAIAN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18" customHeight="1">
      <c r="A2" s="2" t="inlineStr">
        <is>
          <t>Pegangan interviewer. Jangan diperlihatkan kepada kandidat. Skor diberikan berdasarkan deskriptor, bukan kesan umum.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4" ht="20" customHeight="1">
      <c r="A4" s="3" t="inlineStr">
        <is>
          <t>SKALA UMUM</t>
        </is>
      </c>
      <c r="B4" s="3" t="n"/>
      <c r="C4" s="3" t="n"/>
      <c r="D4" s="3" t="n"/>
      <c r="E4" s="3" t="n"/>
      <c r="F4" s="3" t="n"/>
      <c r="G4" s="3" t="n"/>
      <c r="H4" s="3" t="n"/>
      <c r="I4" s="3" t="n"/>
    </row>
    <row r="5">
      <c r="A5" s="10" t="inlineStr">
        <is>
          <t>Skor</t>
        </is>
      </c>
      <c r="B5" s="10" t="inlineStr">
        <is>
          <t>Kategori</t>
        </is>
      </c>
      <c r="C5" s="10" t="inlineStr">
        <is>
          <t>Deskriptor umum</t>
        </is>
      </c>
      <c r="D5" s="21" t="n"/>
      <c r="E5" s="21" t="n"/>
      <c r="F5" s="21" t="n"/>
      <c r="G5" s="21" t="n"/>
      <c r="H5" s="21" t="n"/>
      <c r="I5" s="11" t="n"/>
    </row>
    <row r="6">
      <c r="A6" s="16" t="n">
        <v>4</v>
      </c>
      <c r="B6" s="22" t="inlineStr">
        <is>
          <t>Sangat baik</t>
        </is>
      </c>
      <c r="C6" s="22" t="inlineStr">
        <is>
          <t>Tepat dan lengkap; mampu menjelaskan alasan; dapat langsung diterapkan tanpa banyak arahan.</t>
        </is>
      </c>
      <c r="D6" s="22" t="n"/>
      <c r="E6" s="22" t="n"/>
      <c r="F6" s="22" t="n"/>
      <c r="G6" s="22" t="n"/>
      <c r="H6" s="22" t="n"/>
      <c r="I6" s="22" t="n"/>
    </row>
    <row r="7">
      <c r="A7" s="16" t="n">
        <v>3</v>
      </c>
      <c r="B7" s="22" t="inlineStr">
        <is>
          <t>Memadai</t>
        </is>
      </c>
      <c r="C7" s="22" t="inlineStr">
        <is>
          <t>Tepat pada poin utama; ada detail yang kurang; cukup dengan arahan singkat.</t>
        </is>
      </c>
      <c r="D7" s="22" t="n"/>
      <c r="E7" s="22" t="n"/>
      <c r="F7" s="22" t="n"/>
      <c r="G7" s="22" t="n"/>
      <c r="H7" s="22" t="n"/>
      <c r="I7" s="22" t="n"/>
    </row>
    <row r="8">
      <c r="A8" s="16" t="n">
        <v>2</v>
      </c>
      <c r="B8" s="22" t="inlineStr">
        <is>
          <t>Sebagian</t>
        </is>
      </c>
      <c r="C8" s="22" t="inlineStr">
        <is>
          <t>Sebagian benar atau ada kekeliruan; memerlukan penjelasan cukup banyak dari auditor.</t>
        </is>
      </c>
      <c r="D8" s="22" t="n"/>
      <c r="E8" s="22" t="n"/>
      <c r="F8" s="22" t="n"/>
      <c r="G8" s="22" t="n"/>
      <c r="H8" s="22" t="n"/>
      <c r="I8" s="22" t="n"/>
    </row>
    <row r="9">
      <c r="A9" s="16" t="n">
        <v>1</v>
      </c>
      <c r="B9" s="22" t="inlineStr">
        <is>
          <t>Tidak memadai</t>
        </is>
      </c>
      <c r="C9" s="22" t="inlineStr">
        <is>
          <t>Salah, tidak dapat menjawab, atau jawaban berisiko (pelanggaran kerahasiaan/integritas).</t>
        </is>
      </c>
      <c r="D9" s="22" t="n"/>
      <c r="E9" s="22" t="n"/>
      <c r="F9" s="22" t="n"/>
      <c r="G9" s="22" t="n"/>
      <c r="H9" s="22" t="n"/>
      <c r="I9" s="22" t="n"/>
    </row>
    <row r="11" ht="30" customHeight="1">
      <c r="A11" s="32" t="inlineStr">
        <is>
          <t>Tata cara: (1) bacakan pertanyaan apa adanya; (2) gunakan pertanyaan pendalaman bila jawaban masih umum; (3) catat inti jawaban di form; (4) beri skor berdasarkan deskriptor di bawah. Untuk menjaga konsistensi antar-interviewer, 2–3 kandidat pertama sebaiknya diwawancarai berdua dan skornya dibandingkan.</t>
        </is>
      </c>
    </row>
    <row r="13" ht="20" customHeight="1">
      <c r="A13" s="3" t="inlineStr">
        <is>
          <t>RUBRIK PER PERTANYAAN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</row>
    <row r="14">
      <c r="A14" s="10" t="inlineStr">
        <is>
          <t>No.</t>
        </is>
      </c>
      <c r="B14" s="10" t="inlineStr">
        <is>
          <t>Kompetensi</t>
        </is>
      </c>
      <c r="C14" s="10" t="inlineStr">
        <is>
          <t>Pertanyaan</t>
        </is>
      </c>
      <c r="D14" s="10" t="inlineStr">
        <is>
          <t>Poin Kunci Jawaban</t>
        </is>
      </c>
      <c r="E14" s="10" t="inlineStr">
        <is>
          <t>Skor 4</t>
        </is>
      </c>
      <c r="F14" s="10" t="inlineStr">
        <is>
          <t>Skor 3</t>
        </is>
      </c>
      <c r="G14" s="10" t="inlineStr">
        <is>
          <t>Skor 2</t>
        </is>
      </c>
      <c r="H14" s="10" t="inlineStr">
        <is>
          <t>Skor 1 / Red Flag</t>
        </is>
      </c>
      <c r="I14" s="10" t="inlineStr">
        <is>
          <t>Pertanyaan Pendalaman</t>
        </is>
      </c>
    </row>
    <row r="15" ht="156" customHeight="1">
      <c r="A15" s="12" t="inlineStr">
        <is>
          <t>B1</t>
        </is>
      </c>
      <c r="B15" s="13" t="inlineStr">
        <is>
          <t>Akuntansi</t>
        </is>
      </c>
      <c r="C15" s="13" t="inlineStr">
        <is>
          <t>PT ABC membeli persediaan barang dagang secara kredit Rp10.000.000. Dua minggu kemudian PT ABC membayar 60% utangnya. Buatkan jurnal kedua transaksi tersebut dan jelaskan dampaknya terhadap pos neraca.</t>
        </is>
      </c>
      <c r="D15" s="13" t="inlineStr">
        <is>
          <t>(1) Dr Persediaan 10.000.000 / Cr Utang Usaha 10.000.000.
(2) Dr Utang Usaha 6.000.000 / Cr Kas/Bank 6.000.000.
Dampak akhir: Persediaan +10 jt, Kas −6 jt, Utang Usaha sisa +4 jt. Belum ada dampak ke laba rugi karena barang belum dijual.
Catatan: jurnal metode periodik (Dr Pembelian) dapat diterima jika kandidat menyebut metodenya.</t>
        </is>
      </c>
      <c r="E15" s="13" t="inlineStr">
        <is>
          <t>Kedua jurnal benar, dampak neraca benar, dan menjelaskan mengapa belum ada dampak ke laba rugi.</t>
        </is>
      </c>
      <c r="F15" s="13" t="inlineStr">
        <is>
          <t>Kedua jurnal benar; penjelasan dampak neraca kurang lengkap.</t>
        </is>
      </c>
      <c r="G15" s="13" t="inlineStr">
        <is>
          <t>Hanya satu jurnal benar, atau debit/kredit tertukar lalu dikoreksi setelah diarahkan.</t>
        </is>
      </c>
      <c r="H15" s="13" t="inlineStr">
        <is>
          <t>Kedua jurnal salah atau tidak dapat menjawab.</t>
        </is>
      </c>
      <c r="I15" s="13" t="inlineStr">
        <is>
          <t>Jika barang tersebut kemudian dijual, akun apa saja yang berubah?</t>
        </is>
      </c>
    </row>
    <row r="16" ht="91" customHeight="1">
      <c r="A16" s="12" t="inlineStr">
        <is>
          <t>B2</t>
        </is>
      </c>
      <c r="B16" s="13" t="inlineStr">
        <is>
          <t>Akuntansi</t>
        </is>
      </c>
      <c r="C16" s="13" t="inlineStr">
        <is>
          <t>Kendaraan operasional dibeli 1 Januari 2025 seharga Rp240.000.000, umur manfaat 4 tahun, tanpa nilai residu, metode garis lurus. Berapa beban penyusutan per tahun dan nilai buku per 31 Desember 2026? Mengapa tanah tidak disusutkan?</t>
        </is>
      </c>
      <c r="D16" s="13" t="inlineStr">
        <is>
          <t>Beban penyusutan Rp60 jt/tahun; akumulasi penyusutan s.d. 31-12-2026 Rp120 jt; nilai buku Rp120 jt.
Tanah memiliki umur manfaat tidak terbatas sehingga tidak disusutkan (PSAK 216, d/h PSAK 16).</t>
        </is>
      </c>
      <c r="E16" s="13" t="inlineStr">
        <is>
          <t>Perhitungan beban, akumulasi, dan nilai buku benar; alasan tanah tidak disusutkan tepat.</t>
        </is>
      </c>
      <c r="F16" s="13" t="inlineStr">
        <is>
          <t>Perhitungan benar; alasan tanah kurang tepat atau tidak dijawab.</t>
        </is>
      </c>
      <c r="G16" s="13" t="inlineStr">
        <is>
          <t>Hanya beban penyusutan per tahun yang benar.</t>
        </is>
      </c>
      <c r="H16" s="13" t="inlineStr">
        <is>
          <t>Perhitungan salah atau tidak dapat menjawab.</t>
        </is>
      </c>
      <c r="I16" s="13" t="inlineStr">
        <is>
          <t>Jika kendaraan rusak berat dan tidak lagi digunakan, apa implikasinya terhadap pencatatan?</t>
        </is>
      </c>
    </row>
    <row r="17" ht="117" customHeight="1">
      <c r="A17" s="12" t="inlineStr">
        <is>
          <t>B3</t>
        </is>
      </c>
      <c r="B17" s="13" t="inlineStr">
        <is>
          <t>Akuntansi</t>
        </is>
      </c>
      <c r="C17" s="13" t="inlineStr">
        <is>
          <t>Sebutkan dokumen yang umumnya muncul dalam siklus pembelian, mulai dari permintaan barang sampai pembayaran ke pemasok.</t>
        </is>
      </c>
      <c r="D17" s="13" t="inlineStr">
        <is>
          <t>Permintaan pembelian (PR) → Pesanan pembelian (PO) → Surat jalan pemasok &amp; Bukti Penerimaan Barang (BPB) → Faktur/invoice pemasok &amp; faktur pajak → Voucher/bukti pengeluaran kas yang disetujui → Bukti transfer/cek.
Jawaban ideal menyebut pencocokan tiga arah (PO – BPB – invoice).</t>
        </is>
      </c>
      <c r="E17" s="13" t="inlineStr">
        <is>
          <t>≥5 dokumen dengan urutan logis dan menyebut pencocokan PO–BPB–invoice.</t>
        </is>
      </c>
      <c r="F17" s="13" t="inlineStr">
        <is>
          <t>4–5 dokumen dengan urutan logis.</t>
        </is>
      </c>
      <c r="G17" s="13" t="inlineStr">
        <is>
          <t>2–3 dokumen atau urutan tidak logis.</t>
        </is>
      </c>
      <c r="H17" s="13" t="inlineStr">
        <is>
          <t>≤1 dokumen atau tidak dapat menjawab.</t>
        </is>
      </c>
      <c r="I17" s="13" t="inlineStr">
        <is>
          <t>Mengapa PO, BPB, dan invoice perlu dicocokkan sebelum pembayaran?</t>
        </is>
      </c>
    </row>
    <row r="18" ht="195" customHeight="1">
      <c r="A18" s="12" t="inlineStr">
        <is>
          <t>B4</t>
        </is>
      </c>
      <c r="B18" s="13" t="inlineStr">
        <is>
          <t>Audit Lapangan</t>
        </is>
      </c>
      <c r="C18" s="13" t="inlineStr">
        <is>
          <t>Anda diminta melakukan vouching atas 25 transaksi penambahan aset tetap yang tercatat di buku besar. Apa langkah Anda dan dokumen apa yang Anda periksa? Apa perbedaan vouching dengan tracing?</t>
        </is>
      </c>
      <c r="D18" s="13" t="inlineStr">
        <is>
          <t>Arah pengujian: dari catatan (buku besar/daftar aset tetap) ke dokumen sumber.
Dokumen: invoice, PO/kontrak, berita acara serah terima/BPB, bukti pembayaran, persetujuan pembelian; kendaraan: BPKB/STNK.
Atribut dicocokkan: nama pemasok, tanggal (periode), nilai, deskripsi aset, otorisasi. Beri tickmark dan referensi di kertas kerja.
Vouching (catatan → dokumen) menguji keterjadian/keberadaan; tracing (dokumen → catatan) menguji kelengkapan.</t>
        </is>
      </c>
      <c r="E18" s="13" t="inlineStr">
        <is>
          <t>Arah vouching benar, menyebut ≥4 dokumen/atribut, dan dapat membedakan vouching–tracing beserta tujuannya.</t>
        </is>
      </c>
      <c r="F18" s="13" t="inlineStr">
        <is>
          <t>Arah benar dan dokumen memadai; perbedaan dengan tracing kurang tepat.</t>
        </is>
      </c>
      <c r="G18" s="13" t="inlineStr">
        <is>
          <t>Hanya tahu harus 'mencocokkan dokumen', arah dan atribut pengujian tidak jelas.</t>
        </is>
      </c>
      <c r="H18" s="13" t="inlineStr">
        <is>
          <t>Tidak memahami vouching.</t>
        </is>
      </c>
      <c r="I18" s="13" t="inlineStr">
        <is>
          <t>Apa yang Anda catat di kertas kerja setelah satu sampel selesai diperiksa?</t>
        </is>
      </c>
    </row>
    <row r="19" ht="182" customHeight="1">
      <c r="A19" s="12" t="inlineStr">
        <is>
          <t>B5</t>
        </is>
      </c>
      <c r="B19" s="13" t="inlineStr">
        <is>
          <t>Audit Lapangan</t>
        </is>
      </c>
      <c r="C19" s="13" t="inlineStr">
        <is>
          <t>Saat vouching, nilai di invoice Rp15.500.000, sedangkan di buku besar tercatat Rp15.000.000. Invoice tersebut juga tidak ditandatangani pejabat yang berwenang. Apa yang Anda lakukan?</t>
        </is>
      </c>
      <c r="D19" s="13" t="inlineStr">
        <is>
          <t>(a) Mengenali dua isu terpisah: selisih nilai Rp500.000 dan tidak adanya otorisasi (kelemahan pengendalian).
(b) Mendokumentasikan di kertas kerja: nomor dokumen, nilai, selisih.
(c) Tidak mengoreksi angka sendiri dan tidak menarik kesimpulan.
(d) Melapor ke senior/in-charge; permintaan penjelasan ke klien dilakukan atas arahan senior.
(e) Menyimpan salinan bukti.</t>
        </is>
      </c>
      <c r="E19" s="13" t="inlineStr">
        <is>
          <t>Menyebut kedua isu, mendokumentasikan, dan melapor ke senior.</t>
        </is>
      </c>
      <c r="F19" s="13" t="inlineStr">
        <is>
          <t>Mendokumentasikan dan melapor ke senior, tetapi hanya menangkap satu isu.</t>
        </is>
      </c>
      <c r="G19" s="13" t="inlineStr">
        <is>
          <t>Langsung menanyakan ke klien tanpa dokumentasi dan tanpa melapor ke senior.</t>
        </is>
      </c>
      <c r="H19" s="33" t="inlineStr">
        <is>
          <t>RED FLAG: mengabaikan karena nilainya kecil, atau mengubah angka sendiri.</t>
        </is>
      </c>
      <c r="I19" s="13" t="inlineStr">
        <is>
          <t>Menurut Anda, mana yang lebih serius: selisih nilai atau tidak adanya tanda tangan? Mengapa?</t>
        </is>
      </c>
    </row>
    <row r="20" ht="182" customHeight="1">
      <c r="A20" s="12" t="inlineStr">
        <is>
          <t>B6</t>
        </is>
      </c>
      <c r="B20" s="13" t="inlineStr">
        <is>
          <t>Audit Lapangan</t>
        </is>
      </c>
      <c r="C20" s="13" t="inlineStr">
        <is>
          <t>Anda ikut observasi stock opname di gudang klien. Apa yang harus Anda perhatikan sebelum, saat, dan setelah penghitungan?</t>
        </is>
      </c>
      <c r="D20" s="13" t="inlineStr">
        <is>
          <t>Sebelum: memahami instruksi opname klien; mencatat dokumen terakhir (surat jalan/BPB) untuk cut-off; memastikan tidak ada mutasi barang selama hitung.
Saat: test count dua arah (fisik → daftar dan daftar → fisik); tag/kartu hitung bernomor urut; mencatat barang rusak/usang/kedaluwarsa; barang milik pihak lain (konsinyasi/titipan) dipisahkan.
Setelah: salinan hasil hitung/berita acara yang ditandatangani; kontrol nomor tag terpakai dan tidak terpakai.</t>
        </is>
      </c>
      <c r="E20" s="13" t="inlineStr">
        <is>
          <t>Poin tepat pada ketiga tahap, termasuk cut-off dan test count.</t>
        </is>
      </c>
      <c r="F20" s="13" t="inlineStr">
        <is>
          <t>Poin pada tahap 'saat' lengkap; tahap sebelum/sesudah hanya sebagian.</t>
        </is>
      </c>
      <c r="G20" s="13" t="inlineStr">
        <is>
          <t>Hanya 'ikut menghitung barang' tanpa prosedur pengendalian.</t>
        </is>
      </c>
      <c r="H20" s="13" t="inlineStr">
        <is>
          <t>Tidak memahami tujuan observasi stock opname.</t>
        </is>
      </c>
      <c r="I20" s="13" t="inlineStr">
        <is>
          <t>Ada barang titipan pelanggan di gudang yang sama. Bagaimana perlakuannya?</t>
        </is>
      </c>
    </row>
    <row r="21" ht="143" customHeight="1">
      <c r="A21" s="12" t="inlineStr">
        <is>
          <t>B7</t>
        </is>
      </c>
      <c r="B21" s="13" t="inlineStr">
        <is>
          <t>Audit Lapangan</t>
        </is>
      </c>
      <c r="C21" s="13" t="inlineStr">
        <is>
          <t>Hasil hitung fisik suatu barang 480 unit, sedangkan kartu stok menunjukkan 500 unit. Apa kemungkinan penyebabnya dan apa yang Anda lakukan?</t>
        </is>
      </c>
      <c r="D21" s="13" t="inlineStr">
        <is>
          <t>Penyebab: cut-off (barang sudah dikirim tetapi belum dicatat, atau sebaliknya); salah hitung; perbedaan satuan (dus vs pcs); barang di lokasi lain/dipinjam/di bagian produksi; salah catat kartu stok; kehilangan.
Tindakan: hitung ulang bersama petugas klien; periksa dokumen mutasi terakhir; catat di kertas kerja; lapor ke senior; tidak mengubah angka.</t>
        </is>
      </c>
      <c r="E21" s="13" t="inlineStr">
        <is>
          <t>≥4 kemungkinan penyebab dan tindakan tepat.</t>
        </is>
      </c>
      <c r="F21" s="13" t="inlineStr">
        <is>
          <t>2–3 kemungkinan penyebab dan tindakan tepat.</t>
        </is>
      </c>
      <c r="G21" s="13" t="inlineStr">
        <is>
          <t>Hanya menyebut 'barang hilang', atau tindakan kurang tepat.</t>
        </is>
      </c>
      <c r="H21" s="33" t="inlineStr">
        <is>
          <t>RED FLAG: menyesuaikan angka sendiri; atau tidak dapat menjawab.</t>
        </is>
      </c>
      <c r="I21" s="13" t="inlineStr">
        <is>
          <t>Bagaimana Anda tahu bahwa selisih ini disebabkan masalah cut-off?</t>
        </is>
      </c>
    </row>
    <row r="22" ht="130" customHeight="1">
      <c r="A22" s="12" t="inlineStr">
        <is>
          <t>B8</t>
        </is>
      </c>
      <c r="B22" s="13" t="inlineStr">
        <is>
          <t>Audit Lapangan</t>
        </is>
      </c>
      <c r="C22" s="13" t="inlineStr">
        <is>
          <t>Saat pemeriksaan fisik aset tetap di lokasi klien, apa saja yang Anda cocokkan antara daftar aset tetap dan kondisi di lapangan?</t>
        </is>
      </c>
      <c r="D22" s="13" t="inlineStr">
        <is>
          <t>Dua arah: aset di daftar ada fisiknya (keberadaan) dan aset fisik tercatat di daftar (kelengkapan).
Kode/tag aset; merek, tipe, nomor seri; kendaraan: nomor polisi/rangka dan BPKB/STNK atas nama perusahaan; lokasi; kondisi (rusak/tidak dipakai → indikasi penurunan nilai atau penghapusan); dokumentasi foto dengan izin dan berita acara.</t>
        </is>
      </c>
      <c r="E22" s="13" t="inlineStr">
        <is>
          <t>≥5 poin, termasuk pemeriksaan dua arah dan kondisi aset.</t>
        </is>
      </c>
      <c r="F22" s="13" t="inlineStr">
        <is>
          <t>3–4 poin.</t>
        </is>
      </c>
      <c r="G22" s="13" t="inlineStr">
        <is>
          <t>Hanya 'mengecek aset ada atau tidak'.</t>
        </is>
      </c>
      <c r="H22" s="13" t="inlineStr">
        <is>
          <t>Tidak dapat menjawab.</t>
        </is>
      </c>
      <c r="I22" s="13" t="inlineStr">
        <is>
          <t>Jika ada mesin yang ditemukan tidak terpakai dan berkarat, apa yang Anda lakukan?</t>
        </is>
      </c>
    </row>
    <row r="23" ht="60" customHeight="1">
      <c r="A23" s="12" t="inlineStr">
        <is>
          <t>B9</t>
        </is>
      </c>
      <c r="B23" s="13" t="inlineStr">
        <is>
          <t>Excel</t>
        </is>
      </c>
      <c r="C23" s="13" t="inlineStr">
        <is>
          <t>Tes praktik Excel (file Tes_Praktik_Excel_Kandidat.xlsx, maksimal 15 menit, kandidat menggunakan laptop).</t>
        </is>
      </c>
      <c r="D23" s="13" t="inlineStr">
        <is>
          <t>Lihat sheet 'Kunci Tes Excel' (6 tugas). Interviewer memeriksa hasil dan apakah kandidat memakai rumus, bukan mengetik angka manual.</t>
        </is>
      </c>
      <c r="E23" s="13" t="inlineStr">
        <is>
          <t>6 tugas benar dengan rumus, selesai ≤15 menit.</t>
        </is>
      </c>
      <c r="F23" s="13" t="inlineStr">
        <is>
          <t>4–5 tugas benar dengan rumus.</t>
        </is>
      </c>
      <c r="G23" s="13" t="inlineStr">
        <is>
          <t>2–3 tugas benar, atau hasil benar tetapi angka diketik manual.</t>
        </is>
      </c>
      <c r="H23" s="13" t="inlineStr">
        <is>
          <t>≤1 tugas benar.</t>
        </is>
      </c>
      <c r="I23" s="13" t="inlineStr">
        <is>
          <t>Minta kandidat menjelaskan satu rumus yang dipakainya.</t>
        </is>
      </c>
    </row>
    <row r="24" ht="91" customHeight="1">
      <c r="A24" s="12" t="inlineStr">
        <is>
          <t>B10</t>
        </is>
      </c>
      <c r="B24" s="13" t="inlineStr">
        <is>
          <t>Excel</t>
        </is>
      </c>
      <c r="C24" s="13" t="inlineStr">
        <is>
          <t>Bagaimana Anda memastikan angka total di kertas kerja Excel sudah benar dan sesuai dengan sumbernya?</t>
        </is>
      </c>
      <c r="D24" s="13" t="inlineStr">
        <is>
          <t>Footing dan cross-footing (total baris = total kolom); cocokkan ke sumber (buku besar/neraca saldo); periksa range rumus mencakup semua baris; periksa tidak ada angka yang diketik menimpa rumus; periksa referensi absolut/relatif; beri tickmark dan referensi.</t>
        </is>
      </c>
      <c r="E24" s="13" t="inlineStr">
        <is>
          <t>≥4 poin, termasuk mencocokkan ke sumber.</t>
        </is>
      </c>
      <c r="F24" s="13" t="inlineStr">
        <is>
          <t>2–3 poin.</t>
        </is>
      </c>
      <c r="G24" s="13" t="inlineStr">
        <is>
          <t>Hanya 'dicek ulang' tanpa metode yang jelas.</t>
        </is>
      </c>
      <c r="H24" s="13" t="inlineStr">
        <is>
          <t>Tidak dapat menjawab.</t>
        </is>
      </c>
      <c r="I24" s="13" t="inlineStr">
        <is>
          <t>Pernahkah Anda menemukan kesalahan rumus di pekerjaan Anda sendiri? Bagaimana menemukannya?</t>
        </is>
      </c>
    </row>
    <row r="25" ht="104" customHeight="1">
      <c r="A25" s="12" t="inlineStr">
        <is>
          <t>B11</t>
        </is>
      </c>
      <c r="B25" s="13" t="inlineStr">
        <is>
          <t>Integritas &amp; Kerahasiaan</t>
        </is>
      </c>
      <c r="C25" s="13" t="inlineStr">
        <is>
          <t>Teman kuliah menanyakan nama klien yang Anda kunjungi dan berapa laba perusahaannya, katanya untuk bahan skripsi. Bagaimana respons Anda?</t>
        </is>
      </c>
      <c r="D25" s="13" t="inlineStr">
        <is>
          <t>Menolak memberi informasi apa pun, termasuk nama klien. Alasan: kewajiban kerahasiaan profesi dan perjanjian kerahasiaan dengan KAP. Tidak memotret/mengunggah dokumen atau lokasi klien ke media sosial. Kebutuhan data skripsi diarahkan ke data publik atau prosedur resmi KAP.</t>
        </is>
      </c>
      <c r="E25" s="13" t="inlineStr">
        <is>
          <t>Menolak sepenuhnya, menjelaskan alasan, dan menyebut larangan mengunggah foto/dokumen.</t>
        </is>
      </c>
      <c r="F25" s="13" t="inlineStr">
        <is>
          <t>Menolak sepenuhnya; alasan kurang lengkap.</t>
        </is>
      </c>
      <c r="G25" s="13" t="inlineStr">
        <is>
          <t>Menolak memberi angka, tetapi bersedia menyebut nama klien.</t>
        </is>
      </c>
      <c r="H25" s="33" t="inlineStr">
        <is>
          <t>RED FLAG: bersedia memberikan data klien.</t>
        </is>
      </c>
      <c r="I25" s="13" t="inlineStr">
        <is>
          <t>Bolehkah Anda memotret dokumen klien dengan HP pribadi agar pekerjaan lebih cepat?</t>
        </is>
      </c>
    </row>
    <row r="26" ht="60" customHeight="1">
      <c r="A26" s="12" t="inlineStr">
        <is>
          <t>B12</t>
        </is>
      </c>
      <c r="B26" s="13" t="inlineStr">
        <is>
          <t>Integritas &amp; Kerahasiaan</t>
        </is>
      </c>
      <c r="C26" s="13" t="inlineStr">
        <is>
          <t>Staf klien meminta Anda tidak mencatat selisih stok karena 'nanti akan diperbaiki', lalu menawarkan oleh-oleh. Apa yang Anda lakukan?</t>
        </is>
      </c>
      <c r="D26" s="13" t="inlineStr">
        <is>
          <t>Menolak secara sopan; tetap mencatat temuan apa adanya; menolak pemberian; melaporkan kejadian ke senior.</t>
        </is>
      </c>
      <c r="E26" s="13" t="inlineStr">
        <is>
          <t>Menolak permintaan dan pemberian, tetap mencatat, dan melapor ke senior.</t>
        </is>
      </c>
      <c r="F26" s="13" t="inlineStr">
        <is>
          <t>Menolak dan tetap mencatat, tetapi tidak menyebut melapor ke senior.</t>
        </is>
      </c>
      <c r="G26" s="13" t="inlineStr">
        <is>
          <t>Ragu-ragu; berniat 'bertanya ke senior apakah boleh tidak dicatat'.</t>
        </is>
      </c>
      <c r="H26" s="33" t="inlineStr">
        <is>
          <t>RED FLAG: menuruti permintaan atau menerima pemberian.</t>
        </is>
      </c>
      <c r="I26" s="13" t="inlineStr">
        <is>
          <t>—</t>
        </is>
      </c>
    </row>
    <row r="27" ht="60" customHeight="1">
      <c r="A27" s="12" t="inlineStr">
        <is>
          <t>B13</t>
        </is>
      </c>
      <c r="B27" s="13" t="inlineStr">
        <is>
          <t>Integritas &amp; Kerahasiaan</t>
        </is>
      </c>
      <c r="C27" s="13" t="inlineStr">
        <is>
          <t>Setelah kertas kerja diserahkan, Anda sadar ada 3 dokumen yang belum benar-benar Anda periksa padahal sudah Anda beri tickmark. Apa yang Anda lakukan?</t>
        </is>
      </c>
      <c r="D27" s="13" t="inlineStr">
        <is>
          <t>Segera memberi tahu senior, memperbaiki tickmark, dan menyelesaikan pemeriksaan. Tidak menutupi.</t>
        </is>
      </c>
      <c r="E27" s="13" t="inlineStr">
        <is>
          <t>Segera melapor, memperbaiki, dan menyelesaikan pemeriksaan.</t>
        </is>
      </c>
      <c r="F27" s="13" t="inlineStr">
        <is>
          <t>Memperbaiki dan melapor, tetapi tidak segera.</t>
        </is>
      </c>
      <c r="G27" s="13" t="inlineStr">
        <is>
          <t>Diam-diam memperbaiki tanpa melapor.</t>
        </is>
      </c>
      <c r="H27" s="33" t="inlineStr">
        <is>
          <t>RED FLAG: membiarkan karena 'kemungkinan tidak ada masalah'.</t>
        </is>
      </c>
      <c r="I27" s="13" t="inlineStr">
        <is>
          <t>—</t>
        </is>
      </c>
    </row>
    <row r="28" ht="65" customHeight="1">
      <c r="A28" s="12" t="inlineStr">
        <is>
          <t>B14</t>
        </is>
      </c>
      <c r="B28" s="13" t="inlineStr">
        <is>
          <t>Sikap Kerja</t>
        </is>
      </c>
      <c r="C28" s="13" t="inlineStr">
        <is>
          <t>Bagaimana cara Anda memeriksa ulang pekerjaan sebelum diserahkan? Beri contoh nyata dari tugas kuliah atau organisasi.</t>
        </is>
      </c>
      <c r="D28" s="13" t="inlineStr">
        <is>
          <t>Metode konkret: mencocokkan ke sumber, checklist, membaca ulang instruksi, memberi jeda sebelum review, memeriksa konsistensi angka. Disertai contoh nyata.</t>
        </is>
      </c>
      <c r="E28" s="13" t="inlineStr">
        <is>
          <t>Metode spesifik dan contoh nyata.</t>
        </is>
      </c>
      <c r="F28" s="13" t="inlineStr">
        <is>
          <t>Metode spesifik tanpa contoh nyata.</t>
        </is>
      </c>
      <c r="G28" s="13" t="inlineStr">
        <is>
          <t>Jawaban umum ('saya orangnya teliti').</t>
        </is>
      </c>
      <c r="H28" s="13" t="inlineStr">
        <is>
          <t>Tidak dapat menjelaskan.</t>
        </is>
      </c>
      <c r="I28" s="13" t="inlineStr">
        <is>
          <t>—</t>
        </is>
      </c>
    </row>
    <row r="29" ht="78" customHeight="1">
      <c r="A29" s="12" t="inlineStr">
        <is>
          <t>B15</t>
        </is>
      </c>
      <c r="B29" s="13" t="inlineStr">
        <is>
          <t>Sikap Kerja</t>
        </is>
      </c>
      <c r="C29" s="13" t="inlineStr">
        <is>
          <t>Anda diberi tugas yang belum pernah dikerjakan, sementara senior sedang rapat dengan klien. Apa yang Anda lakukan?</t>
        </is>
      </c>
      <c r="D29" s="13" t="inlineStr">
        <is>
          <t>Mempelajari kertas kerja tahun lalu/contoh yang ada; mencatat pertanyaan; mengerjakan bagian yang sudah jelas; bertanya pada waktu yang tepat; tidak menebak hal yang belum pasti tanpa konfirmasi.</t>
        </is>
      </c>
      <c r="E29" s="13" t="inlineStr">
        <is>
          <t>Inisiatif mencari referensi, mengerjakan yang jelas, dan menyiapkan pertanyaan untuk dikonfirmasi.</t>
        </is>
      </c>
      <c r="F29" s="13" t="inlineStr">
        <is>
          <t>Inisiatif ada, tetapi tidak menyebut perlunya konfirmasi.</t>
        </is>
      </c>
      <c r="G29" s="13" t="inlineStr">
        <is>
          <t>Hanya menunggu senior tanpa melakukan apa pun.</t>
        </is>
      </c>
      <c r="H29" s="13" t="inlineStr">
        <is>
          <t>Menebak dan menyelesaikan tanpa konfirmasi, atau tidak mengerjakan.</t>
        </is>
      </c>
      <c r="I29" s="13" t="inlineStr">
        <is>
          <t>—</t>
        </is>
      </c>
    </row>
    <row r="30" ht="60" customHeight="1">
      <c r="A30" s="12" t="inlineStr">
        <is>
          <t>B16</t>
        </is>
      </c>
      <c r="B30" s="13" t="inlineStr">
        <is>
          <t>Sikap Kerja</t>
        </is>
      </c>
      <c r="C30" s="13" t="inlineStr">
        <is>
          <t>Ceritakan pengalaman ketika pekerjaan Anda dikritik atau dikoreksi. Apa yang Anda lakukan setelahnya?</t>
        </is>
      </c>
      <c r="D30" s="13" t="inlineStr">
        <is>
          <t>Contoh nyata dengan pola situasi – tindakan – hasil, menunjukkan perbaikan konkret.</t>
        </is>
      </c>
      <c r="E30" s="13" t="inlineStr">
        <is>
          <t>Contoh nyata, rinci, dan menunjukkan perbaikan.</t>
        </is>
      </c>
      <c r="F30" s="13" t="inlineStr">
        <is>
          <t>Contoh nyata tetapi kurang rinci.</t>
        </is>
      </c>
      <c r="G30" s="13" t="inlineStr">
        <is>
          <t>Hanya jawaban hipotetis ('saya akan menerima').</t>
        </is>
      </c>
      <c r="H30" s="13" t="inlineStr">
        <is>
          <t>Defensif atau menyalahkan orang lain.</t>
        </is>
      </c>
      <c r="I30" s="13" t="inlineStr">
        <is>
          <t>—</t>
        </is>
      </c>
    </row>
    <row r="31" ht="60" customHeight="1">
      <c r="A31" s="12" t="inlineStr">
        <is>
          <t>B17</t>
        </is>
      </c>
      <c r="B31" s="13" t="inlineStr">
        <is>
          <t>Sikap Kerja</t>
        </is>
      </c>
      <c r="C31" s="13" t="inlineStr">
        <is>
          <t>Apa yang Anda ketahui tentang pekerjaan auditor sehari-hari, dan apa yang ingin Anda peroleh dari magang 3 bulan ini?</t>
        </is>
      </c>
      <c r="D31" s="13" t="inlineStr">
        <is>
          <t>Pemahaman realistis: banyak memeriksa dokumen, kunjungan ke klien, tenggat ketat, lembur pada musim sibuk. Tujuan belajar spesifik.</t>
        </is>
      </c>
      <c r="E31" s="13" t="inlineStr">
        <is>
          <t>Gambaran pekerjaan realistis dan tujuan belajar spesifik.</t>
        </is>
      </c>
      <c r="F31" s="13" t="inlineStr">
        <is>
          <t>Salah satunya saja.</t>
        </is>
      </c>
      <c r="G31" s="13" t="inlineStr">
        <is>
          <t>Jawaban umum ('menambah pengalaman').</t>
        </is>
      </c>
      <c r="H31" s="13" t="inlineStr">
        <is>
          <t>Ekspektasi tidak realistis, atau magang semata untuk memenuhi SKS.</t>
        </is>
      </c>
      <c r="I31" s="13" t="inlineStr">
        <is>
          <t>—</t>
        </is>
      </c>
    </row>
  </sheetData>
  <mergeCells count="10">
    <mergeCell ref="A2:I2"/>
    <mergeCell ref="C9:I9"/>
    <mergeCell ref="A11:I11"/>
    <mergeCell ref="C8:I8"/>
    <mergeCell ref="A13:I13"/>
    <mergeCell ref="A1:I1"/>
    <mergeCell ref="C6:I6"/>
    <mergeCell ref="C7:I7"/>
    <mergeCell ref="A4:I4"/>
    <mergeCell ref="C5:I5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tabColor rgb="00BA6A36"/>
    <outlinePr summaryBelow="1" summaryRight="1"/>
    <pageSetUpPr fitToPage="1"/>
  </sheetPr>
  <dimension ref="A1:L4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13" customWidth="1" min="4" max="4"/>
    <col width="13" customWidth="1" min="5" max="5"/>
    <col width="11" customWidth="1" min="6" max="6"/>
    <col width="15" customWidth="1" min="7" max="7"/>
    <col width="16" customWidth="1" min="8" max="8"/>
    <col width="12" customWidth="1" min="9" max="9"/>
    <col width="3" customWidth="1" min="10" max="10"/>
    <col width="10" customWidth="1" min="11" max="11"/>
    <col width="16" customWidth="1" min="12" max="12"/>
  </cols>
  <sheetData>
    <row r="1" ht="30" customHeight="1">
      <c r="A1" s="1" t="inlineStr">
        <is>
          <t>KUNCI TES PRAKTIK EXCEL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8" customHeight="1">
      <c r="A2" s="2" t="inlineStr">
        <is>
          <t>Jawaban dihitung otomatis dengan rumus. Bandingkan hasil kandidat dengan angka di sini.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4">
      <c r="A4" s="5" t="inlineStr">
        <is>
          <t>Klien (fiktif): PT ABC — Stock opname 31 Desember</t>
        </is>
      </c>
    </row>
    <row r="6">
      <c r="A6" s="3" t="inlineStr">
        <is>
          <t>TUGAS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7" ht="18" customHeight="1">
      <c r="A7" s="34" t="n">
        <v>1</v>
      </c>
      <c r="B7" s="4" t="inlineStr">
        <is>
          <t>Kolom F: hitung Selisih Qty = Qty Hitung Fisik − Qty Kartu Stok.</t>
        </is>
      </c>
    </row>
    <row r="8" ht="18" customHeight="1">
      <c r="A8" s="34" t="n">
        <v>2</v>
      </c>
      <c r="B8" s="4" t="inlineStr">
        <is>
          <t>Kolom G: ambil Harga Satuan dari tabel Master Harga (kolom K–L) menggunakan rumus pencarian (VLOOKUP/INDEX-MATCH/XLOOKUP).</t>
        </is>
      </c>
    </row>
    <row r="9" ht="18" customHeight="1">
      <c r="A9" s="34" t="n">
        <v>3</v>
      </c>
      <c r="B9" s="4" t="inlineStr">
        <is>
          <t>Kolom H: hitung Nilai Selisih = Selisih Qty × Harga Satuan.</t>
        </is>
      </c>
    </row>
    <row r="10" ht="18" customHeight="1">
      <c r="A10" s="34" t="n">
        <v>4</v>
      </c>
      <c r="B10" s="4" t="inlineStr">
        <is>
          <t>Kolom I: isi keterangan "Selisih" jika Selisih Qty tidak sama dengan nol, dan "Sesuai" jika nol (gunakan rumus IF).</t>
        </is>
      </c>
    </row>
    <row r="11" ht="18" customHeight="1">
      <c r="A11" s="34" t="n">
        <v>5</v>
      </c>
      <c r="B11" s="4" t="inlineStr">
        <is>
          <t>Tabel Ringkasan: hitung jumlah item yang selisih (COUNTIF) dan total Nilai Selisih per kategori (SUMIF).</t>
        </is>
      </c>
    </row>
    <row r="12" ht="18" customHeight="1">
      <c r="A12" s="34" t="n">
        <v>6</v>
      </c>
      <c r="B12" s="4" t="inlineStr">
        <is>
          <t>Buat cek: total Nilai Selisih per kategori harus sama dengan total kolom H. Tampilkan "OK" jika sama.</t>
        </is>
      </c>
    </row>
    <row r="13">
      <c r="K13" s="5" t="inlineStr">
        <is>
          <t>MASTER HARGA</t>
        </is>
      </c>
    </row>
    <row r="14">
      <c r="A14" s="10" t="inlineStr">
        <is>
          <t>Kode</t>
        </is>
      </c>
      <c r="B14" s="10" t="inlineStr">
        <is>
          <t>Nama Barang</t>
        </is>
      </c>
      <c r="C14" s="10" t="inlineStr">
        <is>
          <t>Kategori</t>
        </is>
      </c>
      <c r="D14" s="10" t="inlineStr">
        <is>
          <t>Qty Kartu Stok</t>
        </is>
      </c>
      <c r="E14" s="10" t="inlineStr">
        <is>
          <t>Qty Hitung Fisik</t>
        </is>
      </c>
      <c r="F14" s="10" t="inlineStr">
        <is>
          <t>Selisih Qty</t>
        </is>
      </c>
      <c r="G14" s="10" t="inlineStr">
        <is>
          <t>Harga Satuan (Rp)</t>
        </is>
      </c>
      <c r="H14" s="10" t="inlineStr">
        <is>
          <t>Nilai Selisih (Rp)</t>
        </is>
      </c>
      <c r="I14" s="10" t="inlineStr">
        <is>
          <t>Keterangan</t>
        </is>
      </c>
      <c r="K14" s="10" t="inlineStr">
        <is>
          <t>Kode</t>
        </is>
      </c>
      <c r="L14" s="10" t="inlineStr">
        <is>
          <t>Harga Satuan (Rp)</t>
        </is>
      </c>
    </row>
    <row r="15">
      <c r="A15" s="22" t="inlineStr">
        <is>
          <t>BB-001</t>
        </is>
      </c>
      <c r="B15" s="22" t="inlineStr">
        <is>
          <t>Biji Plastik PP (kg)</t>
        </is>
      </c>
      <c r="C15" s="22" t="inlineStr">
        <is>
          <t>Bahan Baku</t>
        </is>
      </c>
      <c r="D15" s="35" t="n">
        <v>1250</v>
      </c>
      <c r="E15" s="35" t="n">
        <v>1250</v>
      </c>
      <c r="F15" s="35">
        <f>E15-D15</f>
        <v/>
      </c>
      <c r="G15" s="35">
        <f>VLOOKUP(A15,$K$15:$L$26,2,FALSE)</f>
        <v/>
      </c>
      <c r="H15" s="35">
        <f>F15*G15</f>
        <v/>
      </c>
      <c r="I15" s="22">
        <f>IF(F15&lt;&gt;0,"Selisih","Sesuai")</f>
        <v/>
      </c>
      <c r="K15" s="22" t="inlineStr">
        <is>
          <t>SC-203</t>
        </is>
      </c>
      <c r="L15" s="36" t="n">
        <v>72000</v>
      </c>
    </row>
    <row r="16">
      <c r="A16" s="22" t="inlineStr">
        <is>
          <t>BB-002</t>
        </is>
      </c>
      <c r="B16" s="22" t="inlineStr">
        <is>
          <t>Pigmen Warna Merah (kg)</t>
        </is>
      </c>
      <c r="C16" s="22" t="inlineStr">
        <is>
          <t>Bahan Baku</t>
        </is>
      </c>
      <c r="D16" s="35" t="n">
        <v>85</v>
      </c>
      <c r="E16" s="35" t="n">
        <v>80</v>
      </c>
      <c r="F16" s="35">
        <f>E16-D16</f>
        <v/>
      </c>
      <c r="G16" s="35">
        <f>VLOOKUP(A16,$K$15:$L$26,2,FALSE)</f>
        <v/>
      </c>
      <c r="H16" s="35">
        <f>F16*G16</f>
        <v/>
      </c>
      <c r="I16" s="22">
        <f>IF(F16&lt;&gt;0,"Selisih","Sesuai")</f>
        <v/>
      </c>
      <c r="K16" s="22" t="inlineStr">
        <is>
          <t>BJ-104</t>
        </is>
      </c>
      <c r="L16" s="36" t="n">
        <v>6200</v>
      </c>
    </row>
    <row r="17">
      <c r="A17" s="22" t="inlineStr">
        <is>
          <t>BB-003</t>
        </is>
      </c>
      <c r="B17" s="22" t="inlineStr">
        <is>
          <t>Karton Box Ukuran A (pcs)</t>
        </is>
      </c>
      <c r="C17" s="22" t="inlineStr">
        <is>
          <t>Bahan Baku</t>
        </is>
      </c>
      <c r="D17" s="35" t="n">
        <v>3400</v>
      </c>
      <c r="E17" s="35" t="n">
        <v>3400</v>
      </c>
      <c r="F17" s="35">
        <f>E17-D17</f>
        <v/>
      </c>
      <c r="G17" s="35">
        <f>VLOOKUP(A17,$K$15:$L$26,2,FALSE)</f>
        <v/>
      </c>
      <c r="H17" s="35">
        <f>F17*G17</f>
        <v/>
      </c>
      <c r="I17" s="22">
        <f>IF(F17&lt;&gt;0,"Selisih","Sesuai")</f>
        <v/>
      </c>
      <c r="K17" s="22" t="inlineStr">
        <is>
          <t>BB-003</t>
        </is>
      </c>
      <c r="L17" s="36" t="n">
        <v>4250</v>
      </c>
    </row>
    <row r="18">
      <c r="A18" s="22" t="inlineStr">
        <is>
          <t>BB-004</t>
        </is>
      </c>
      <c r="B18" s="22" t="inlineStr">
        <is>
          <t>Lakban Bening (roll)</t>
        </is>
      </c>
      <c r="C18" s="22" t="inlineStr">
        <is>
          <t>Bahan Baku</t>
        </is>
      </c>
      <c r="D18" s="35" t="n">
        <v>240</v>
      </c>
      <c r="E18" s="35" t="n">
        <v>236</v>
      </c>
      <c r="F18" s="35">
        <f>E18-D18</f>
        <v/>
      </c>
      <c r="G18" s="35">
        <f>VLOOKUP(A18,$K$15:$L$26,2,FALSE)</f>
        <v/>
      </c>
      <c r="H18" s="35">
        <f>F18*G18</f>
        <v/>
      </c>
      <c r="I18" s="22">
        <f>IF(F18&lt;&gt;0,"Selisih","Sesuai")</f>
        <v/>
      </c>
      <c r="K18" s="22" t="inlineStr">
        <is>
          <t>SC-201</t>
        </is>
      </c>
      <c r="L18" s="36" t="n">
        <v>1350000</v>
      </c>
    </row>
    <row r="19">
      <c r="A19" s="22" t="inlineStr">
        <is>
          <t>BJ-101</t>
        </is>
      </c>
      <c r="B19" s="22" t="inlineStr">
        <is>
          <t>Ember 20 Liter (pcs)</t>
        </is>
      </c>
      <c r="C19" s="22" t="inlineStr">
        <is>
          <t>Barang Jadi</t>
        </is>
      </c>
      <c r="D19" s="35" t="n">
        <v>620</v>
      </c>
      <c r="E19" s="35" t="n">
        <v>620</v>
      </c>
      <c r="F19" s="35">
        <f>E19-D19</f>
        <v/>
      </c>
      <c r="G19" s="35">
        <f>VLOOKUP(A19,$K$15:$L$26,2,FALSE)</f>
        <v/>
      </c>
      <c r="H19" s="35">
        <f>F19*G19</f>
        <v/>
      </c>
      <c r="I19" s="22">
        <f>IF(F19&lt;&gt;0,"Selisih","Sesuai")</f>
        <v/>
      </c>
      <c r="K19" s="22" t="inlineStr">
        <is>
          <t>BJ-102</t>
        </is>
      </c>
      <c r="L19" s="36" t="n">
        <v>45000</v>
      </c>
    </row>
    <row r="20">
      <c r="A20" s="22" t="inlineStr">
        <is>
          <t>BJ-102</t>
        </is>
      </c>
      <c r="B20" s="22" t="inlineStr">
        <is>
          <t>Kursi Plastik (pcs)</t>
        </is>
      </c>
      <c r="C20" s="22" t="inlineStr">
        <is>
          <t>Barang Jadi</t>
        </is>
      </c>
      <c r="D20" s="35" t="n">
        <v>410</v>
      </c>
      <c r="E20" s="35" t="n">
        <v>398</v>
      </c>
      <c r="F20" s="35">
        <f>E20-D20</f>
        <v/>
      </c>
      <c r="G20" s="35">
        <f>VLOOKUP(A20,$K$15:$L$26,2,FALSE)</f>
        <v/>
      </c>
      <c r="H20" s="35">
        <f>F20*G20</f>
        <v/>
      </c>
      <c r="I20" s="22">
        <f>IF(F20&lt;&gt;0,"Selisih","Sesuai")</f>
        <v/>
      </c>
      <c r="K20" s="22" t="inlineStr">
        <is>
          <t>BB-001</t>
        </is>
      </c>
      <c r="L20" s="36" t="n">
        <v>18500</v>
      </c>
    </row>
    <row r="21">
      <c r="A21" s="22" t="inlineStr">
        <is>
          <t>BJ-103</t>
        </is>
      </c>
      <c r="B21" s="22" t="inlineStr">
        <is>
          <t>Keranjang Serbaguna (pcs)</t>
        </is>
      </c>
      <c r="C21" s="22" t="inlineStr">
        <is>
          <t>Barang Jadi</t>
        </is>
      </c>
      <c r="D21" s="35" t="n">
        <v>950</v>
      </c>
      <c r="E21" s="35" t="n">
        <v>955</v>
      </c>
      <c r="F21" s="35">
        <f>E21-D21</f>
        <v/>
      </c>
      <c r="G21" s="35">
        <f>VLOOKUP(A21,$K$15:$L$26,2,FALSE)</f>
        <v/>
      </c>
      <c r="H21" s="35">
        <f>F21*G21</f>
        <v/>
      </c>
      <c r="I21" s="22">
        <f>IF(F21&lt;&gt;0,"Selisih","Sesuai")</f>
        <v/>
      </c>
      <c r="K21" s="22" t="inlineStr">
        <is>
          <t>SC-204</t>
        </is>
      </c>
      <c r="L21" s="36" t="n">
        <v>1120000</v>
      </c>
    </row>
    <row r="22">
      <c r="A22" s="22" t="inlineStr">
        <is>
          <t>BJ-104</t>
        </is>
      </c>
      <c r="B22" s="22" t="inlineStr">
        <is>
          <t>Gayung (pcs)</t>
        </is>
      </c>
      <c r="C22" s="22" t="inlineStr">
        <is>
          <t>Barang Jadi</t>
        </is>
      </c>
      <c r="D22" s="35" t="n">
        <v>1800</v>
      </c>
      <c r="E22" s="35" t="n">
        <v>1800</v>
      </c>
      <c r="F22" s="35">
        <f>E22-D22</f>
        <v/>
      </c>
      <c r="G22" s="35">
        <f>VLOOKUP(A22,$K$15:$L$26,2,FALSE)</f>
        <v/>
      </c>
      <c r="H22" s="35">
        <f>F22*G22</f>
        <v/>
      </c>
      <c r="I22" s="22">
        <f>IF(F22&lt;&gt;0,"Selisih","Sesuai")</f>
        <v/>
      </c>
      <c r="K22" s="22" t="inlineStr">
        <is>
          <t>BJ-101</t>
        </is>
      </c>
      <c r="L22" s="36" t="n">
        <v>27500</v>
      </c>
    </row>
    <row r="23">
      <c r="A23" s="22" t="inlineStr">
        <is>
          <t>SC-201</t>
        </is>
      </c>
      <c r="B23" s="22" t="inlineStr">
        <is>
          <t>Mata Pisau Mesin Cetak (pcs)</t>
        </is>
      </c>
      <c r="C23" s="22" t="inlineStr">
        <is>
          <t>Suku Cadang</t>
        </is>
      </c>
      <c r="D23" s="35" t="n">
        <v>24</v>
      </c>
      <c r="E23" s="35" t="n">
        <v>24</v>
      </c>
      <c r="F23" s="35">
        <f>E23-D23</f>
        <v/>
      </c>
      <c r="G23" s="35">
        <f>VLOOKUP(A23,$K$15:$L$26,2,FALSE)</f>
        <v/>
      </c>
      <c r="H23" s="35">
        <f>F23*G23</f>
        <v/>
      </c>
      <c r="I23" s="22">
        <f>IF(F23&lt;&gt;0,"Selisih","Sesuai")</f>
        <v/>
      </c>
      <c r="K23" s="22" t="inlineStr">
        <is>
          <t>BB-004</t>
        </is>
      </c>
      <c r="L23" s="36" t="n">
        <v>9800</v>
      </c>
    </row>
    <row r="24">
      <c r="A24" s="22" t="inlineStr">
        <is>
          <t>SC-202</t>
        </is>
      </c>
      <c r="B24" s="22" t="inlineStr">
        <is>
          <t>V-Belt Tipe B (pcs)</t>
        </is>
      </c>
      <c r="C24" s="22" t="inlineStr">
        <is>
          <t>Suku Cadang</t>
        </is>
      </c>
      <c r="D24" s="35" t="n">
        <v>36</v>
      </c>
      <c r="E24" s="35" t="n">
        <v>33</v>
      </c>
      <c r="F24" s="35">
        <f>E24-D24</f>
        <v/>
      </c>
      <c r="G24" s="35">
        <f>VLOOKUP(A24,$K$15:$L$26,2,FALSE)</f>
        <v/>
      </c>
      <c r="H24" s="35">
        <f>F24*G24</f>
        <v/>
      </c>
      <c r="I24" s="22">
        <f>IF(F24&lt;&gt;0,"Selisih","Sesuai")</f>
        <v/>
      </c>
      <c r="K24" s="22" t="inlineStr">
        <is>
          <t>SC-202</t>
        </is>
      </c>
      <c r="L24" s="36" t="n">
        <v>185000</v>
      </c>
    </row>
    <row r="25">
      <c r="A25" s="22" t="inlineStr">
        <is>
          <t>SC-203</t>
        </is>
      </c>
      <c r="B25" s="22" t="inlineStr">
        <is>
          <t>Bearing 6205 (pcs)</t>
        </is>
      </c>
      <c r="C25" s="22" t="inlineStr">
        <is>
          <t>Suku Cadang</t>
        </is>
      </c>
      <c r="D25" s="35" t="n">
        <v>60</v>
      </c>
      <c r="E25" s="35" t="n">
        <v>60</v>
      </c>
      <c r="F25" s="35">
        <f>E25-D25</f>
        <v/>
      </c>
      <c r="G25" s="35">
        <f>VLOOKUP(A25,$K$15:$L$26,2,FALSE)</f>
        <v/>
      </c>
      <c r="H25" s="35">
        <f>F25*G25</f>
        <v/>
      </c>
      <c r="I25" s="22">
        <f>IF(F25&lt;&gt;0,"Selisih","Sesuai")</f>
        <v/>
      </c>
      <c r="K25" s="22" t="inlineStr">
        <is>
          <t>BJ-103</t>
        </is>
      </c>
      <c r="L25" s="36" t="n">
        <v>15750</v>
      </c>
    </row>
    <row r="26">
      <c r="A26" s="22" t="inlineStr">
        <is>
          <t>SC-204</t>
        </is>
      </c>
      <c r="B26" s="22" t="inlineStr">
        <is>
          <t>Oli Hidrolik 20 L (pail)</t>
        </is>
      </c>
      <c r="C26" s="22" t="inlineStr">
        <is>
          <t>Suku Cadang</t>
        </is>
      </c>
      <c r="D26" s="35" t="n">
        <v>15</v>
      </c>
      <c r="E26" s="35" t="n">
        <v>14</v>
      </c>
      <c r="F26" s="35">
        <f>E26-D26</f>
        <v/>
      </c>
      <c r="G26" s="35">
        <f>VLOOKUP(A26,$K$15:$L$26,2,FALSE)</f>
        <v/>
      </c>
      <c r="H26" s="35">
        <f>F26*G26</f>
        <v/>
      </c>
      <c r="I26" s="22">
        <f>IF(F26&lt;&gt;0,"Selisih","Sesuai")</f>
        <v/>
      </c>
      <c r="K26" s="22" t="inlineStr">
        <is>
          <t>BB-002</t>
        </is>
      </c>
      <c r="L26" s="36" t="n">
        <v>62000</v>
      </c>
    </row>
    <row r="27">
      <c r="A27" s="7" t="inlineStr">
        <is>
          <t>Total</t>
        </is>
      </c>
      <c r="B27" s="7" t="n"/>
      <c r="C27" s="7" t="n"/>
      <c r="D27" s="7" t="n"/>
      <c r="E27" s="7" t="n"/>
      <c r="F27" s="7" t="n"/>
      <c r="G27" s="7" t="n"/>
      <c r="H27" s="37">
        <f>SUM(H15:H26)</f>
        <v/>
      </c>
      <c r="I27" s="7" t="n"/>
    </row>
    <row r="29">
      <c r="A29" s="3" t="inlineStr">
        <is>
          <t>RINGKASAN</t>
        </is>
      </c>
      <c r="B29" s="3" t="n"/>
      <c r="C29" s="3" t="n"/>
      <c r="D29" s="3" t="n"/>
    </row>
    <row r="30">
      <c r="A30" s="22" t="inlineStr">
        <is>
          <t>Jumlah item selisih</t>
        </is>
      </c>
      <c r="B30" s="22" t="n"/>
      <c r="C30" s="22" t="n"/>
      <c r="D30" s="35">
        <f>COUNTIF(I15:I26,"Selisih")</f>
        <v/>
      </c>
    </row>
    <row r="31">
      <c r="A31" s="38" t="inlineStr">
        <is>
          <t>Kategori</t>
        </is>
      </c>
      <c r="B31" s="22" t="n"/>
      <c r="C31" s="22" t="n"/>
      <c r="D31" s="39" t="inlineStr">
        <is>
          <t>Total Nilai Selisih (Rp)</t>
        </is>
      </c>
    </row>
    <row r="32">
      <c r="A32" s="22" t="inlineStr">
        <is>
          <t>Bahan Baku</t>
        </is>
      </c>
      <c r="B32" s="22" t="n"/>
      <c r="C32" s="22" t="n"/>
      <c r="D32" s="35">
        <f>SUMIF($C$15:$C$26,A32,$H$15:$H$26)</f>
        <v/>
      </c>
    </row>
    <row r="33">
      <c r="A33" s="22" t="inlineStr">
        <is>
          <t>Barang Jadi</t>
        </is>
      </c>
      <c r="B33" s="22" t="n"/>
      <c r="C33" s="22" t="n"/>
      <c r="D33" s="35">
        <f>SUMIF($C$15:$C$26,A33,$H$15:$H$26)</f>
        <v/>
      </c>
    </row>
    <row r="34">
      <c r="A34" s="22" t="inlineStr">
        <is>
          <t>Suku Cadang</t>
        </is>
      </c>
      <c r="B34" s="22" t="n"/>
      <c r="C34" s="22" t="n"/>
      <c r="D34" s="35">
        <f>SUMIF($C$15:$C$26,A34,$H$15:$H$26)</f>
        <v/>
      </c>
    </row>
    <row r="35">
      <c r="A35" s="40" t="inlineStr">
        <is>
          <t>Total per kategori</t>
        </is>
      </c>
      <c r="B35" s="22" t="n"/>
      <c r="C35" s="22" t="n"/>
      <c r="D35" s="35">
        <f>SUM(D32:D34)</f>
        <v/>
      </c>
    </row>
    <row r="36">
      <c r="A36" s="40" t="inlineStr">
        <is>
          <t>Cek (Total per kategori = Total kolom H)</t>
        </is>
      </c>
      <c r="B36" s="22" t="n"/>
      <c r="C36" s="22" t="n"/>
      <c r="D36" s="35">
        <f>IF(ROUND(D35-H27,0)=0,"OK","TIDAK SAMA")</f>
        <v/>
      </c>
    </row>
    <row r="38">
      <c r="A38" s="17" t="inlineStr">
        <is>
          <t>Panduan skor (pertanyaan B9): hitung tugas yang benar DAN dikerjakan dengan rumus.</t>
        </is>
      </c>
    </row>
    <row r="39">
      <c r="A39" s="17" t="inlineStr">
        <is>
          <t>Tugas 2: VLOOKUP, INDEX-MATCH, atau XLOOKUP sama-sama diterima; pastikan kandidat memakai pencocokan persis (FALSE/0).</t>
        </is>
      </c>
    </row>
    <row r="40">
      <c r="A40" s="17" t="inlineStr">
        <is>
          <t>Kesalahan umum: VLOOKUP tanpa FALSE (hasil salah karena Master Harga tidak urut), range tidak dikunci ($), selisih dihitung terbalik (Kartu − Fisik).</t>
        </is>
      </c>
    </row>
    <row r="41">
      <c r="A41" s="17" t="inlineStr">
        <is>
          <t>Nilai bertanda negatif berarti fisik lebih sedikit dari catatan (potensi kehilangan/cut-off). Kandidat yang menyadari hal ini menunjukkan pemahaman, bukan sekadar teknik.</t>
        </is>
      </c>
    </row>
  </sheetData>
  <mergeCells count="22">
    <mergeCell ref="A41:L41"/>
    <mergeCell ref="B7:L7"/>
    <mergeCell ref="A29:D29"/>
    <mergeCell ref="A2:L2"/>
    <mergeCell ref="B12:L12"/>
    <mergeCell ref="A33:C33"/>
    <mergeCell ref="A32:C32"/>
    <mergeCell ref="B11:L11"/>
    <mergeCell ref="A35:C35"/>
    <mergeCell ref="B8:L8"/>
    <mergeCell ref="A38:L38"/>
    <mergeCell ref="A31:C31"/>
    <mergeCell ref="B10:L10"/>
    <mergeCell ref="A30:C30"/>
    <mergeCell ref="A40:L40"/>
    <mergeCell ref="A34:C34"/>
    <mergeCell ref="A39:L39"/>
    <mergeCell ref="B9:L9"/>
    <mergeCell ref="A36:C36"/>
    <mergeCell ref="A27:G27"/>
    <mergeCell ref="A1:L1"/>
    <mergeCell ref="A6:L6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tabColor rgb="00C3955B"/>
    <outlinePr summaryBelow="1" summaryRight="1"/>
    <pageSetUpPr fitToPage="1"/>
  </sheetPr>
  <dimension ref="A1:T7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20" customWidth="1" min="3" max="3"/>
    <col width="16" customWidth="1" min="4" max="4"/>
    <col width="12" customWidth="1" min="5" max="5"/>
    <col width="14" customWidth="1" min="6" max="6"/>
    <col width="10" customWidth="1" min="7" max="7"/>
    <col width="11" customWidth="1" min="8" max="8"/>
    <col width="10" customWidth="1" min="9" max="9"/>
    <col width="10" customWidth="1" min="10" max="10"/>
    <col width="11" customWidth="1" min="11" max="11"/>
    <col width="11" customWidth="1" min="12" max="12"/>
    <col width="10" customWidth="1" min="13" max="13"/>
    <col width="30" customWidth="1" min="14" max="14"/>
    <col width="10" customWidth="1" min="15" max="15"/>
    <col width="14" customWidth="1" min="16" max="16"/>
    <col width="11" customWidth="1" min="17" max="17"/>
    <col width="11" customWidth="1" min="18" max="18"/>
    <col width="10" customWidth="1" min="19" max="19"/>
    <col width="13" customWidth="1" min="20" max="20"/>
  </cols>
  <sheetData>
    <row r="1" ht="30" customHeight="1">
      <c r="A1" s="1" t="inlineStr">
        <is>
          <t>REKAP &amp; PERINGKAT KANDIDAT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18" customHeight="1">
      <c r="A2" s="2" t="inlineStr">
        <is>
          <t>Tempel (Paste Values) baris 'Data untuk Rekap' dari setiap form ke kolom B–P. Kolom Q–T terhitung otomatis.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4" ht="32" customHeight="1">
      <c r="A4" s="10" t="inlineStr">
        <is>
          <t>No.</t>
        </is>
      </c>
      <c r="B4" s="10" t="inlineStr">
        <is>
          <t>Nama Mahasiswa</t>
        </is>
      </c>
      <c r="C4" s="10" t="inlineStr">
        <is>
          <t>Universitas</t>
        </is>
      </c>
      <c r="D4" s="10" t="inlineStr">
        <is>
          <t>Interviewer</t>
        </is>
      </c>
      <c r="E4" s="10" t="inlineStr">
        <is>
          <t>Tgl Wawancara</t>
        </is>
      </c>
      <c r="F4" s="10" t="inlineStr">
        <is>
          <t>Status Syarat</t>
        </is>
      </c>
      <c r="G4" s="10" t="inlineStr">
        <is>
          <t>Akuntansi</t>
        </is>
      </c>
      <c r="H4" s="10" t="inlineStr">
        <is>
          <t>Audit Lapangan</t>
        </is>
      </c>
      <c r="I4" s="10" t="inlineStr">
        <is>
          <t>Excel</t>
        </is>
      </c>
      <c r="J4" s="10" t="inlineStr">
        <is>
          <t>Integritas</t>
        </is>
      </c>
      <c r="K4" s="10" t="inlineStr">
        <is>
          <t>Sikap Kerja</t>
        </is>
      </c>
      <c r="L4" s="10" t="inlineStr">
        <is>
          <t>Indeks Teknis</t>
        </is>
      </c>
      <c r="M4" s="10" t="inlineStr">
        <is>
          <t>Nilai Akhir</t>
        </is>
      </c>
      <c r="N4" s="10" t="inlineStr">
        <is>
          <t>Rekomendasi Sistem</t>
        </is>
      </c>
      <c r="O4" s="10" t="inlineStr">
        <is>
          <t>Bersedia Luar Kota</t>
        </is>
      </c>
      <c r="P4" s="10" t="inlineStr">
        <is>
          <t>Keputusan Akhir</t>
        </is>
      </c>
      <c r="Q4" s="10" t="inlineStr">
        <is>
          <t>Layak Diperingkat</t>
        </is>
      </c>
      <c r="R4" s="10" t="inlineStr">
        <is>
          <t>Nilai Peringkat</t>
        </is>
      </c>
      <c r="S4" s="10" t="inlineStr">
        <is>
          <t>Peringkat</t>
        </is>
      </c>
      <c r="T4" s="10" t="inlineStr">
        <is>
          <t>Usulan</t>
        </is>
      </c>
    </row>
    <row r="5">
      <c r="A5" s="41" t="n">
        <v>1</v>
      </c>
      <c r="B5" s="42" t="n"/>
      <c r="C5" s="42" t="n"/>
      <c r="D5" s="42" t="n"/>
      <c r="E5" s="43" t="n"/>
      <c r="F5" s="44" t="n"/>
      <c r="G5" s="45" t="n"/>
      <c r="H5" s="45" t="n"/>
      <c r="I5" s="45" t="n"/>
      <c r="J5" s="45" t="n"/>
      <c r="K5" s="45" t="n"/>
      <c r="L5" s="45" t="n"/>
      <c r="M5" s="45" t="n"/>
      <c r="N5" s="42" t="n"/>
      <c r="O5" s="44" t="n"/>
      <c r="P5" s="42" t="n"/>
      <c r="Q5" s="41">
        <f>IF(B5="","",IF(AND(F5="MEMENUHI",OR(N5="SANGAT DIREKOMENDASIKAN",N5="DIREKOMENDASIKAN",N5="DIPERTIMBANGKAN")),"Ya","Tidak"))</f>
        <v/>
      </c>
      <c r="R5" s="46">
        <f>IF(Q5&lt;&gt;"Ya","",M5+IF(O5="Ya",0.01,0)+L5/10000)</f>
        <v/>
      </c>
      <c r="S5" s="41">
        <f>IF(R5="","",COUNTIF($R$5:$R$64,"&gt;"&amp;R5)+1)</f>
        <v/>
      </c>
      <c r="T5" s="41">
        <f>IF(B5="","",IF(Q5&lt;&gt;"Ya","Tidak Lolos",IF(S5&lt;=Parameter!$C$9,"Masuk Kuota","Cadangan")))</f>
        <v/>
      </c>
    </row>
    <row r="6">
      <c r="A6" s="41" t="n">
        <v>2</v>
      </c>
      <c r="B6" s="42" t="n"/>
      <c r="C6" s="42" t="n"/>
      <c r="D6" s="42" t="n"/>
      <c r="E6" s="43" t="n"/>
      <c r="F6" s="44" t="n"/>
      <c r="G6" s="45" t="n"/>
      <c r="H6" s="45" t="n"/>
      <c r="I6" s="45" t="n"/>
      <c r="J6" s="45" t="n"/>
      <c r="K6" s="45" t="n"/>
      <c r="L6" s="45" t="n"/>
      <c r="M6" s="45" t="n"/>
      <c r="N6" s="42" t="n"/>
      <c r="O6" s="44" t="n"/>
      <c r="P6" s="42" t="n"/>
      <c r="Q6" s="41">
        <f>IF(B6="","",IF(AND(F6="MEMENUHI",OR(N6="SANGAT DIREKOMENDASIKAN",N6="DIREKOMENDASIKAN",N6="DIPERTIMBANGKAN")),"Ya","Tidak"))</f>
        <v/>
      </c>
      <c r="R6" s="46">
        <f>IF(Q6&lt;&gt;"Ya","",M6+IF(O6="Ya",0.01,0)+L6/10000)</f>
        <v/>
      </c>
      <c r="S6" s="41">
        <f>IF(R6="","",COUNTIF($R$5:$R$64,"&gt;"&amp;R6)+1)</f>
        <v/>
      </c>
      <c r="T6" s="41">
        <f>IF(B6="","",IF(Q6&lt;&gt;"Ya","Tidak Lolos",IF(S6&lt;=Parameter!$C$9,"Masuk Kuota","Cadangan")))</f>
        <v/>
      </c>
    </row>
    <row r="7">
      <c r="A7" s="41" t="n">
        <v>3</v>
      </c>
      <c r="B7" s="42" t="n"/>
      <c r="C7" s="42" t="n"/>
      <c r="D7" s="42" t="n"/>
      <c r="E7" s="43" t="n"/>
      <c r="F7" s="44" t="n"/>
      <c r="G7" s="45" t="n"/>
      <c r="H7" s="45" t="n"/>
      <c r="I7" s="45" t="n"/>
      <c r="J7" s="45" t="n"/>
      <c r="K7" s="45" t="n"/>
      <c r="L7" s="45" t="n"/>
      <c r="M7" s="45" t="n"/>
      <c r="N7" s="42" t="n"/>
      <c r="O7" s="44" t="n"/>
      <c r="P7" s="42" t="n"/>
      <c r="Q7" s="41">
        <f>IF(B7="","",IF(AND(F7="MEMENUHI",OR(N7="SANGAT DIREKOMENDASIKAN",N7="DIREKOMENDASIKAN",N7="DIPERTIMBANGKAN")),"Ya","Tidak"))</f>
        <v/>
      </c>
      <c r="R7" s="46">
        <f>IF(Q7&lt;&gt;"Ya","",M7+IF(O7="Ya",0.01,0)+L7/10000)</f>
        <v/>
      </c>
      <c r="S7" s="41">
        <f>IF(R7="","",COUNTIF($R$5:$R$64,"&gt;"&amp;R7)+1)</f>
        <v/>
      </c>
      <c r="T7" s="41">
        <f>IF(B7="","",IF(Q7&lt;&gt;"Ya","Tidak Lolos",IF(S7&lt;=Parameter!$C$9,"Masuk Kuota","Cadangan")))</f>
        <v/>
      </c>
    </row>
    <row r="8">
      <c r="A8" s="41" t="n">
        <v>4</v>
      </c>
      <c r="B8" s="42" t="n"/>
      <c r="C8" s="42" t="n"/>
      <c r="D8" s="42" t="n"/>
      <c r="E8" s="43" t="n"/>
      <c r="F8" s="44" t="n"/>
      <c r="G8" s="45" t="n"/>
      <c r="H8" s="45" t="n"/>
      <c r="I8" s="45" t="n"/>
      <c r="J8" s="45" t="n"/>
      <c r="K8" s="45" t="n"/>
      <c r="L8" s="45" t="n"/>
      <c r="M8" s="45" t="n"/>
      <c r="N8" s="42" t="n"/>
      <c r="O8" s="44" t="n"/>
      <c r="P8" s="42" t="n"/>
      <c r="Q8" s="41">
        <f>IF(B8="","",IF(AND(F8="MEMENUHI",OR(N8="SANGAT DIREKOMENDASIKAN",N8="DIREKOMENDASIKAN",N8="DIPERTIMBANGKAN")),"Ya","Tidak"))</f>
        <v/>
      </c>
      <c r="R8" s="46">
        <f>IF(Q8&lt;&gt;"Ya","",M8+IF(O8="Ya",0.01,0)+L8/10000)</f>
        <v/>
      </c>
      <c r="S8" s="41">
        <f>IF(R8="","",COUNTIF($R$5:$R$64,"&gt;"&amp;R8)+1)</f>
        <v/>
      </c>
      <c r="T8" s="41">
        <f>IF(B8="","",IF(Q8&lt;&gt;"Ya","Tidak Lolos",IF(S8&lt;=Parameter!$C$9,"Masuk Kuota","Cadangan")))</f>
        <v/>
      </c>
    </row>
    <row r="9">
      <c r="A9" s="41" t="n">
        <v>5</v>
      </c>
      <c r="B9" s="42" t="n"/>
      <c r="C9" s="42" t="n"/>
      <c r="D9" s="42" t="n"/>
      <c r="E9" s="43" t="n"/>
      <c r="F9" s="44" t="n"/>
      <c r="G9" s="45" t="n"/>
      <c r="H9" s="45" t="n"/>
      <c r="I9" s="45" t="n"/>
      <c r="J9" s="45" t="n"/>
      <c r="K9" s="45" t="n"/>
      <c r="L9" s="45" t="n"/>
      <c r="M9" s="45" t="n"/>
      <c r="N9" s="42" t="n"/>
      <c r="O9" s="44" t="n"/>
      <c r="P9" s="42" t="n"/>
      <c r="Q9" s="41">
        <f>IF(B9="","",IF(AND(F9="MEMENUHI",OR(N9="SANGAT DIREKOMENDASIKAN",N9="DIREKOMENDASIKAN",N9="DIPERTIMBANGKAN")),"Ya","Tidak"))</f>
        <v/>
      </c>
      <c r="R9" s="46">
        <f>IF(Q9&lt;&gt;"Ya","",M9+IF(O9="Ya",0.01,0)+L9/10000)</f>
        <v/>
      </c>
      <c r="S9" s="41">
        <f>IF(R9="","",COUNTIF($R$5:$R$64,"&gt;"&amp;R9)+1)</f>
        <v/>
      </c>
      <c r="T9" s="41">
        <f>IF(B9="","",IF(Q9&lt;&gt;"Ya","Tidak Lolos",IF(S9&lt;=Parameter!$C$9,"Masuk Kuota","Cadangan")))</f>
        <v/>
      </c>
    </row>
    <row r="10">
      <c r="A10" s="41" t="n">
        <v>6</v>
      </c>
      <c r="B10" s="42" t="n"/>
      <c r="C10" s="42" t="n"/>
      <c r="D10" s="42" t="n"/>
      <c r="E10" s="43" t="n"/>
      <c r="F10" s="44" t="n"/>
      <c r="G10" s="45" t="n"/>
      <c r="H10" s="45" t="n"/>
      <c r="I10" s="45" t="n"/>
      <c r="J10" s="45" t="n"/>
      <c r="K10" s="45" t="n"/>
      <c r="L10" s="45" t="n"/>
      <c r="M10" s="45" t="n"/>
      <c r="N10" s="42" t="n"/>
      <c r="O10" s="44" t="n"/>
      <c r="P10" s="42" t="n"/>
      <c r="Q10" s="41">
        <f>IF(B10="","",IF(AND(F10="MEMENUHI",OR(N10="SANGAT DIREKOMENDASIKAN",N10="DIREKOMENDASIKAN",N10="DIPERTIMBANGKAN")),"Ya","Tidak"))</f>
        <v/>
      </c>
      <c r="R10" s="46">
        <f>IF(Q10&lt;&gt;"Ya","",M10+IF(O10="Ya",0.01,0)+L10/10000)</f>
        <v/>
      </c>
      <c r="S10" s="41">
        <f>IF(R10="","",COUNTIF($R$5:$R$64,"&gt;"&amp;R10)+1)</f>
        <v/>
      </c>
      <c r="T10" s="41">
        <f>IF(B10="","",IF(Q10&lt;&gt;"Ya","Tidak Lolos",IF(S10&lt;=Parameter!$C$9,"Masuk Kuota","Cadangan")))</f>
        <v/>
      </c>
    </row>
    <row r="11">
      <c r="A11" s="41" t="n">
        <v>7</v>
      </c>
      <c r="B11" s="42" t="n"/>
      <c r="C11" s="42" t="n"/>
      <c r="D11" s="42" t="n"/>
      <c r="E11" s="43" t="n"/>
      <c r="F11" s="44" t="n"/>
      <c r="G11" s="45" t="n"/>
      <c r="H11" s="45" t="n"/>
      <c r="I11" s="45" t="n"/>
      <c r="J11" s="45" t="n"/>
      <c r="K11" s="45" t="n"/>
      <c r="L11" s="45" t="n"/>
      <c r="M11" s="45" t="n"/>
      <c r="N11" s="42" t="n"/>
      <c r="O11" s="44" t="n"/>
      <c r="P11" s="42" t="n"/>
      <c r="Q11" s="41">
        <f>IF(B11="","",IF(AND(F11="MEMENUHI",OR(N11="SANGAT DIREKOMENDASIKAN",N11="DIREKOMENDASIKAN",N11="DIPERTIMBANGKAN")),"Ya","Tidak"))</f>
        <v/>
      </c>
      <c r="R11" s="46">
        <f>IF(Q11&lt;&gt;"Ya","",M11+IF(O11="Ya",0.01,0)+L11/10000)</f>
        <v/>
      </c>
      <c r="S11" s="41">
        <f>IF(R11="","",COUNTIF($R$5:$R$64,"&gt;"&amp;R11)+1)</f>
        <v/>
      </c>
      <c r="T11" s="41">
        <f>IF(B11="","",IF(Q11&lt;&gt;"Ya","Tidak Lolos",IF(S11&lt;=Parameter!$C$9,"Masuk Kuota","Cadangan")))</f>
        <v/>
      </c>
    </row>
    <row r="12">
      <c r="A12" s="41" t="n">
        <v>8</v>
      </c>
      <c r="B12" s="42" t="n"/>
      <c r="C12" s="42" t="n"/>
      <c r="D12" s="42" t="n"/>
      <c r="E12" s="43" t="n"/>
      <c r="F12" s="44" t="n"/>
      <c r="G12" s="45" t="n"/>
      <c r="H12" s="45" t="n"/>
      <c r="I12" s="45" t="n"/>
      <c r="J12" s="45" t="n"/>
      <c r="K12" s="45" t="n"/>
      <c r="L12" s="45" t="n"/>
      <c r="M12" s="45" t="n"/>
      <c r="N12" s="42" t="n"/>
      <c r="O12" s="44" t="n"/>
      <c r="P12" s="42" t="n"/>
      <c r="Q12" s="41">
        <f>IF(B12="","",IF(AND(F12="MEMENUHI",OR(N12="SANGAT DIREKOMENDASIKAN",N12="DIREKOMENDASIKAN",N12="DIPERTIMBANGKAN")),"Ya","Tidak"))</f>
        <v/>
      </c>
      <c r="R12" s="46">
        <f>IF(Q12&lt;&gt;"Ya","",M12+IF(O12="Ya",0.01,0)+L12/10000)</f>
        <v/>
      </c>
      <c r="S12" s="41">
        <f>IF(R12="","",COUNTIF($R$5:$R$64,"&gt;"&amp;R12)+1)</f>
        <v/>
      </c>
      <c r="T12" s="41">
        <f>IF(B12="","",IF(Q12&lt;&gt;"Ya","Tidak Lolos",IF(S12&lt;=Parameter!$C$9,"Masuk Kuota","Cadangan")))</f>
        <v/>
      </c>
    </row>
    <row r="13">
      <c r="A13" s="41" t="n">
        <v>9</v>
      </c>
      <c r="B13" s="42" t="n"/>
      <c r="C13" s="42" t="n"/>
      <c r="D13" s="42" t="n"/>
      <c r="E13" s="43" t="n"/>
      <c r="F13" s="44" t="n"/>
      <c r="G13" s="45" t="n"/>
      <c r="H13" s="45" t="n"/>
      <c r="I13" s="45" t="n"/>
      <c r="J13" s="45" t="n"/>
      <c r="K13" s="45" t="n"/>
      <c r="L13" s="45" t="n"/>
      <c r="M13" s="45" t="n"/>
      <c r="N13" s="42" t="n"/>
      <c r="O13" s="44" t="n"/>
      <c r="P13" s="42" t="n"/>
      <c r="Q13" s="41">
        <f>IF(B13="","",IF(AND(F13="MEMENUHI",OR(N13="SANGAT DIREKOMENDASIKAN",N13="DIREKOMENDASIKAN",N13="DIPERTIMBANGKAN")),"Ya","Tidak"))</f>
        <v/>
      </c>
      <c r="R13" s="46">
        <f>IF(Q13&lt;&gt;"Ya","",M13+IF(O13="Ya",0.01,0)+L13/10000)</f>
        <v/>
      </c>
      <c r="S13" s="41">
        <f>IF(R13="","",COUNTIF($R$5:$R$64,"&gt;"&amp;R13)+1)</f>
        <v/>
      </c>
      <c r="T13" s="41">
        <f>IF(B13="","",IF(Q13&lt;&gt;"Ya","Tidak Lolos",IF(S13&lt;=Parameter!$C$9,"Masuk Kuota","Cadangan")))</f>
        <v/>
      </c>
    </row>
    <row r="14">
      <c r="A14" s="41" t="n">
        <v>10</v>
      </c>
      <c r="B14" s="42" t="n"/>
      <c r="C14" s="42" t="n"/>
      <c r="D14" s="42" t="n"/>
      <c r="E14" s="43" t="n"/>
      <c r="F14" s="44" t="n"/>
      <c r="G14" s="45" t="n"/>
      <c r="H14" s="45" t="n"/>
      <c r="I14" s="45" t="n"/>
      <c r="J14" s="45" t="n"/>
      <c r="K14" s="45" t="n"/>
      <c r="L14" s="45" t="n"/>
      <c r="M14" s="45" t="n"/>
      <c r="N14" s="42" t="n"/>
      <c r="O14" s="44" t="n"/>
      <c r="P14" s="42" t="n"/>
      <c r="Q14" s="41">
        <f>IF(B14="","",IF(AND(F14="MEMENUHI",OR(N14="SANGAT DIREKOMENDASIKAN",N14="DIREKOMENDASIKAN",N14="DIPERTIMBANGKAN")),"Ya","Tidak"))</f>
        <v/>
      </c>
      <c r="R14" s="46">
        <f>IF(Q14&lt;&gt;"Ya","",M14+IF(O14="Ya",0.01,0)+L14/10000)</f>
        <v/>
      </c>
      <c r="S14" s="41">
        <f>IF(R14="","",COUNTIF($R$5:$R$64,"&gt;"&amp;R14)+1)</f>
        <v/>
      </c>
      <c r="T14" s="41">
        <f>IF(B14="","",IF(Q14&lt;&gt;"Ya","Tidak Lolos",IF(S14&lt;=Parameter!$C$9,"Masuk Kuota","Cadangan")))</f>
        <v/>
      </c>
    </row>
    <row r="15">
      <c r="A15" s="41" t="n">
        <v>11</v>
      </c>
      <c r="B15" s="42" t="n"/>
      <c r="C15" s="42" t="n"/>
      <c r="D15" s="42" t="n"/>
      <c r="E15" s="43" t="n"/>
      <c r="F15" s="44" t="n"/>
      <c r="G15" s="45" t="n"/>
      <c r="H15" s="45" t="n"/>
      <c r="I15" s="45" t="n"/>
      <c r="J15" s="45" t="n"/>
      <c r="K15" s="45" t="n"/>
      <c r="L15" s="45" t="n"/>
      <c r="M15" s="45" t="n"/>
      <c r="N15" s="42" t="n"/>
      <c r="O15" s="44" t="n"/>
      <c r="P15" s="42" t="n"/>
      <c r="Q15" s="41">
        <f>IF(B15="","",IF(AND(F15="MEMENUHI",OR(N15="SANGAT DIREKOMENDASIKAN",N15="DIREKOMENDASIKAN",N15="DIPERTIMBANGKAN")),"Ya","Tidak"))</f>
        <v/>
      </c>
      <c r="R15" s="46">
        <f>IF(Q15&lt;&gt;"Ya","",M15+IF(O15="Ya",0.01,0)+L15/10000)</f>
        <v/>
      </c>
      <c r="S15" s="41">
        <f>IF(R15="","",COUNTIF($R$5:$R$64,"&gt;"&amp;R15)+1)</f>
        <v/>
      </c>
      <c r="T15" s="41">
        <f>IF(B15="","",IF(Q15&lt;&gt;"Ya","Tidak Lolos",IF(S15&lt;=Parameter!$C$9,"Masuk Kuota","Cadangan")))</f>
        <v/>
      </c>
    </row>
    <row r="16">
      <c r="A16" s="41" t="n">
        <v>12</v>
      </c>
      <c r="B16" s="42" t="n"/>
      <c r="C16" s="42" t="n"/>
      <c r="D16" s="42" t="n"/>
      <c r="E16" s="43" t="n"/>
      <c r="F16" s="44" t="n"/>
      <c r="G16" s="45" t="n"/>
      <c r="H16" s="45" t="n"/>
      <c r="I16" s="45" t="n"/>
      <c r="J16" s="45" t="n"/>
      <c r="K16" s="45" t="n"/>
      <c r="L16" s="45" t="n"/>
      <c r="M16" s="45" t="n"/>
      <c r="N16" s="42" t="n"/>
      <c r="O16" s="44" t="n"/>
      <c r="P16" s="42" t="n"/>
      <c r="Q16" s="41">
        <f>IF(B16="","",IF(AND(F16="MEMENUHI",OR(N16="SANGAT DIREKOMENDASIKAN",N16="DIREKOMENDASIKAN",N16="DIPERTIMBANGKAN")),"Ya","Tidak"))</f>
        <v/>
      </c>
      <c r="R16" s="46">
        <f>IF(Q16&lt;&gt;"Ya","",M16+IF(O16="Ya",0.01,0)+L16/10000)</f>
        <v/>
      </c>
      <c r="S16" s="41">
        <f>IF(R16="","",COUNTIF($R$5:$R$64,"&gt;"&amp;R16)+1)</f>
        <v/>
      </c>
      <c r="T16" s="41">
        <f>IF(B16="","",IF(Q16&lt;&gt;"Ya","Tidak Lolos",IF(S16&lt;=Parameter!$C$9,"Masuk Kuota","Cadangan")))</f>
        <v/>
      </c>
    </row>
    <row r="17">
      <c r="A17" s="41" t="n">
        <v>13</v>
      </c>
      <c r="B17" s="42" t="n"/>
      <c r="C17" s="42" t="n"/>
      <c r="D17" s="42" t="n"/>
      <c r="E17" s="43" t="n"/>
      <c r="F17" s="44" t="n"/>
      <c r="G17" s="45" t="n"/>
      <c r="H17" s="45" t="n"/>
      <c r="I17" s="45" t="n"/>
      <c r="J17" s="45" t="n"/>
      <c r="K17" s="45" t="n"/>
      <c r="L17" s="45" t="n"/>
      <c r="M17" s="45" t="n"/>
      <c r="N17" s="42" t="n"/>
      <c r="O17" s="44" t="n"/>
      <c r="P17" s="42" t="n"/>
      <c r="Q17" s="41">
        <f>IF(B17="","",IF(AND(F17="MEMENUHI",OR(N17="SANGAT DIREKOMENDASIKAN",N17="DIREKOMENDASIKAN",N17="DIPERTIMBANGKAN")),"Ya","Tidak"))</f>
        <v/>
      </c>
      <c r="R17" s="46">
        <f>IF(Q17&lt;&gt;"Ya","",M17+IF(O17="Ya",0.01,0)+L17/10000)</f>
        <v/>
      </c>
      <c r="S17" s="41">
        <f>IF(R17="","",COUNTIF($R$5:$R$64,"&gt;"&amp;R17)+1)</f>
        <v/>
      </c>
      <c r="T17" s="41">
        <f>IF(B17="","",IF(Q17&lt;&gt;"Ya","Tidak Lolos",IF(S17&lt;=Parameter!$C$9,"Masuk Kuota","Cadangan")))</f>
        <v/>
      </c>
    </row>
    <row r="18">
      <c r="A18" s="41" t="n">
        <v>14</v>
      </c>
      <c r="B18" s="42" t="n"/>
      <c r="C18" s="42" t="n"/>
      <c r="D18" s="42" t="n"/>
      <c r="E18" s="43" t="n"/>
      <c r="F18" s="44" t="n"/>
      <c r="G18" s="45" t="n"/>
      <c r="H18" s="45" t="n"/>
      <c r="I18" s="45" t="n"/>
      <c r="J18" s="45" t="n"/>
      <c r="K18" s="45" t="n"/>
      <c r="L18" s="45" t="n"/>
      <c r="M18" s="45" t="n"/>
      <c r="N18" s="42" t="n"/>
      <c r="O18" s="44" t="n"/>
      <c r="P18" s="42" t="n"/>
      <c r="Q18" s="41">
        <f>IF(B18="","",IF(AND(F18="MEMENUHI",OR(N18="SANGAT DIREKOMENDASIKAN",N18="DIREKOMENDASIKAN",N18="DIPERTIMBANGKAN")),"Ya","Tidak"))</f>
        <v/>
      </c>
      <c r="R18" s="46">
        <f>IF(Q18&lt;&gt;"Ya","",M18+IF(O18="Ya",0.01,0)+L18/10000)</f>
        <v/>
      </c>
      <c r="S18" s="41">
        <f>IF(R18="","",COUNTIF($R$5:$R$64,"&gt;"&amp;R18)+1)</f>
        <v/>
      </c>
      <c r="T18" s="41">
        <f>IF(B18="","",IF(Q18&lt;&gt;"Ya","Tidak Lolos",IF(S18&lt;=Parameter!$C$9,"Masuk Kuota","Cadangan")))</f>
        <v/>
      </c>
    </row>
    <row r="19">
      <c r="A19" s="41" t="n">
        <v>15</v>
      </c>
      <c r="B19" s="42" t="n"/>
      <c r="C19" s="42" t="n"/>
      <c r="D19" s="42" t="n"/>
      <c r="E19" s="43" t="n"/>
      <c r="F19" s="44" t="n"/>
      <c r="G19" s="45" t="n"/>
      <c r="H19" s="45" t="n"/>
      <c r="I19" s="45" t="n"/>
      <c r="J19" s="45" t="n"/>
      <c r="K19" s="45" t="n"/>
      <c r="L19" s="45" t="n"/>
      <c r="M19" s="45" t="n"/>
      <c r="N19" s="42" t="n"/>
      <c r="O19" s="44" t="n"/>
      <c r="P19" s="42" t="n"/>
      <c r="Q19" s="41">
        <f>IF(B19="","",IF(AND(F19="MEMENUHI",OR(N19="SANGAT DIREKOMENDASIKAN",N19="DIREKOMENDASIKAN",N19="DIPERTIMBANGKAN")),"Ya","Tidak"))</f>
        <v/>
      </c>
      <c r="R19" s="46">
        <f>IF(Q19&lt;&gt;"Ya","",M19+IF(O19="Ya",0.01,0)+L19/10000)</f>
        <v/>
      </c>
      <c r="S19" s="41">
        <f>IF(R19="","",COUNTIF($R$5:$R$64,"&gt;"&amp;R19)+1)</f>
        <v/>
      </c>
      <c r="T19" s="41">
        <f>IF(B19="","",IF(Q19&lt;&gt;"Ya","Tidak Lolos",IF(S19&lt;=Parameter!$C$9,"Masuk Kuota","Cadangan")))</f>
        <v/>
      </c>
    </row>
    <row r="20">
      <c r="A20" s="41" t="n">
        <v>16</v>
      </c>
      <c r="B20" s="42" t="n"/>
      <c r="C20" s="42" t="n"/>
      <c r="D20" s="42" t="n"/>
      <c r="E20" s="43" t="n"/>
      <c r="F20" s="44" t="n"/>
      <c r="G20" s="45" t="n"/>
      <c r="H20" s="45" t="n"/>
      <c r="I20" s="45" t="n"/>
      <c r="J20" s="45" t="n"/>
      <c r="K20" s="45" t="n"/>
      <c r="L20" s="45" t="n"/>
      <c r="M20" s="45" t="n"/>
      <c r="N20" s="42" t="n"/>
      <c r="O20" s="44" t="n"/>
      <c r="P20" s="42" t="n"/>
      <c r="Q20" s="41">
        <f>IF(B20="","",IF(AND(F20="MEMENUHI",OR(N20="SANGAT DIREKOMENDASIKAN",N20="DIREKOMENDASIKAN",N20="DIPERTIMBANGKAN")),"Ya","Tidak"))</f>
        <v/>
      </c>
      <c r="R20" s="46">
        <f>IF(Q20&lt;&gt;"Ya","",M20+IF(O20="Ya",0.01,0)+L20/10000)</f>
        <v/>
      </c>
      <c r="S20" s="41">
        <f>IF(R20="","",COUNTIF($R$5:$R$64,"&gt;"&amp;R20)+1)</f>
        <v/>
      </c>
      <c r="T20" s="41">
        <f>IF(B20="","",IF(Q20&lt;&gt;"Ya","Tidak Lolos",IF(S20&lt;=Parameter!$C$9,"Masuk Kuota","Cadangan")))</f>
        <v/>
      </c>
    </row>
    <row r="21">
      <c r="A21" s="41" t="n">
        <v>17</v>
      </c>
      <c r="B21" s="42" t="n"/>
      <c r="C21" s="42" t="n"/>
      <c r="D21" s="42" t="n"/>
      <c r="E21" s="43" t="n"/>
      <c r="F21" s="44" t="n"/>
      <c r="G21" s="45" t="n"/>
      <c r="H21" s="45" t="n"/>
      <c r="I21" s="45" t="n"/>
      <c r="J21" s="45" t="n"/>
      <c r="K21" s="45" t="n"/>
      <c r="L21" s="45" t="n"/>
      <c r="M21" s="45" t="n"/>
      <c r="N21" s="42" t="n"/>
      <c r="O21" s="44" t="n"/>
      <c r="P21" s="42" t="n"/>
      <c r="Q21" s="41">
        <f>IF(B21="","",IF(AND(F21="MEMENUHI",OR(N21="SANGAT DIREKOMENDASIKAN",N21="DIREKOMENDASIKAN",N21="DIPERTIMBANGKAN")),"Ya","Tidak"))</f>
        <v/>
      </c>
      <c r="R21" s="46">
        <f>IF(Q21&lt;&gt;"Ya","",M21+IF(O21="Ya",0.01,0)+L21/10000)</f>
        <v/>
      </c>
      <c r="S21" s="41">
        <f>IF(R21="","",COUNTIF($R$5:$R$64,"&gt;"&amp;R21)+1)</f>
        <v/>
      </c>
      <c r="T21" s="41">
        <f>IF(B21="","",IF(Q21&lt;&gt;"Ya","Tidak Lolos",IF(S21&lt;=Parameter!$C$9,"Masuk Kuota","Cadangan")))</f>
        <v/>
      </c>
    </row>
    <row r="22">
      <c r="A22" s="41" t="n">
        <v>18</v>
      </c>
      <c r="B22" s="42" t="n"/>
      <c r="C22" s="42" t="n"/>
      <c r="D22" s="42" t="n"/>
      <c r="E22" s="43" t="n"/>
      <c r="F22" s="44" t="n"/>
      <c r="G22" s="45" t="n"/>
      <c r="H22" s="45" t="n"/>
      <c r="I22" s="45" t="n"/>
      <c r="J22" s="45" t="n"/>
      <c r="K22" s="45" t="n"/>
      <c r="L22" s="45" t="n"/>
      <c r="M22" s="45" t="n"/>
      <c r="N22" s="42" t="n"/>
      <c r="O22" s="44" t="n"/>
      <c r="P22" s="42" t="n"/>
      <c r="Q22" s="41">
        <f>IF(B22="","",IF(AND(F22="MEMENUHI",OR(N22="SANGAT DIREKOMENDASIKAN",N22="DIREKOMENDASIKAN",N22="DIPERTIMBANGKAN")),"Ya","Tidak"))</f>
        <v/>
      </c>
      <c r="R22" s="46">
        <f>IF(Q22&lt;&gt;"Ya","",M22+IF(O22="Ya",0.01,0)+L22/10000)</f>
        <v/>
      </c>
      <c r="S22" s="41">
        <f>IF(R22="","",COUNTIF($R$5:$R$64,"&gt;"&amp;R22)+1)</f>
        <v/>
      </c>
      <c r="T22" s="41">
        <f>IF(B22="","",IF(Q22&lt;&gt;"Ya","Tidak Lolos",IF(S22&lt;=Parameter!$C$9,"Masuk Kuota","Cadangan")))</f>
        <v/>
      </c>
    </row>
    <row r="23">
      <c r="A23" s="41" t="n">
        <v>19</v>
      </c>
      <c r="B23" s="42" t="n"/>
      <c r="C23" s="42" t="n"/>
      <c r="D23" s="42" t="n"/>
      <c r="E23" s="43" t="n"/>
      <c r="F23" s="44" t="n"/>
      <c r="G23" s="45" t="n"/>
      <c r="H23" s="45" t="n"/>
      <c r="I23" s="45" t="n"/>
      <c r="J23" s="45" t="n"/>
      <c r="K23" s="45" t="n"/>
      <c r="L23" s="45" t="n"/>
      <c r="M23" s="45" t="n"/>
      <c r="N23" s="42" t="n"/>
      <c r="O23" s="44" t="n"/>
      <c r="P23" s="42" t="n"/>
      <c r="Q23" s="41">
        <f>IF(B23="","",IF(AND(F23="MEMENUHI",OR(N23="SANGAT DIREKOMENDASIKAN",N23="DIREKOMENDASIKAN",N23="DIPERTIMBANGKAN")),"Ya","Tidak"))</f>
        <v/>
      </c>
      <c r="R23" s="46">
        <f>IF(Q23&lt;&gt;"Ya","",M23+IF(O23="Ya",0.01,0)+L23/10000)</f>
        <v/>
      </c>
      <c r="S23" s="41">
        <f>IF(R23="","",COUNTIF($R$5:$R$64,"&gt;"&amp;R23)+1)</f>
        <v/>
      </c>
      <c r="T23" s="41">
        <f>IF(B23="","",IF(Q23&lt;&gt;"Ya","Tidak Lolos",IF(S23&lt;=Parameter!$C$9,"Masuk Kuota","Cadangan")))</f>
        <v/>
      </c>
    </row>
    <row r="24">
      <c r="A24" s="41" t="n">
        <v>20</v>
      </c>
      <c r="B24" s="42" t="n"/>
      <c r="C24" s="42" t="n"/>
      <c r="D24" s="42" t="n"/>
      <c r="E24" s="43" t="n"/>
      <c r="F24" s="44" t="n"/>
      <c r="G24" s="45" t="n"/>
      <c r="H24" s="45" t="n"/>
      <c r="I24" s="45" t="n"/>
      <c r="J24" s="45" t="n"/>
      <c r="K24" s="45" t="n"/>
      <c r="L24" s="45" t="n"/>
      <c r="M24" s="45" t="n"/>
      <c r="N24" s="42" t="n"/>
      <c r="O24" s="44" t="n"/>
      <c r="P24" s="42" t="n"/>
      <c r="Q24" s="41">
        <f>IF(B24="","",IF(AND(F24="MEMENUHI",OR(N24="SANGAT DIREKOMENDASIKAN",N24="DIREKOMENDASIKAN",N24="DIPERTIMBANGKAN")),"Ya","Tidak"))</f>
        <v/>
      </c>
      <c r="R24" s="46">
        <f>IF(Q24&lt;&gt;"Ya","",M24+IF(O24="Ya",0.01,0)+L24/10000)</f>
        <v/>
      </c>
      <c r="S24" s="41">
        <f>IF(R24="","",COUNTIF($R$5:$R$64,"&gt;"&amp;R24)+1)</f>
        <v/>
      </c>
      <c r="T24" s="41">
        <f>IF(B24="","",IF(Q24&lt;&gt;"Ya","Tidak Lolos",IF(S24&lt;=Parameter!$C$9,"Masuk Kuota","Cadangan")))</f>
        <v/>
      </c>
    </row>
    <row r="25">
      <c r="A25" s="41" t="n">
        <v>21</v>
      </c>
      <c r="B25" s="42" t="n"/>
      <c r="C25" s="42" t="n"/>
      <c r="D25" s="42" t="n"/>
      <c r="E25" s="43" t="n"/>
      <c r="F25" s="44" t="n"/>
      <c r="G25" s="45" t="n"/>
      <c r="H25" s="45" t="n"/>
      <c r="I25" s="45" t="n"/>
      <c r="J25" s="45" t="n"/>
      <c r="K25" s="45" t="n"/>
      <c r="L25" s="45" t="n"/>
      <c r="M25" s="45" t="n"/>
      <c r="N25" s="42" t="n"/>
      <c r="O25" s="44" t="n"/>
      <c r="P25" s="42" t="n"/>
      <c r="Q25" s="41">
        <f>IF(B25="","",IF(AND(F25="MEMENUHI",OR(N25="SANGAT DIREKOMENDASIKAN",N25="DIREKOMENDASIKAN",N25="DIPERTIMBANGKAN")),"Ya","Tidak"))</f>
        <v/>
      </c>
      <c r="R25" s="46">
        <f>IF(Q25&lt;&gt;"Ya","",M25+IF(O25="Ya",0.01,0)+L25/10000)</f>
        <v/>
      </c>
      <c r="S25" s="41">
        <f>IF(R25="","",COUNTIF($R$5:$R$64,"&gt;"&amp;R25)+1)</f>
        <v/>
      </c>
      <c r="T25" s="41">
        <f>IF(B25="","",IF(Q25&lt;&gt;"Ya","Tidak Lolos",IF(S25&lt;=Parameter!$C$9,"Masuk Kuota","Cadangan")))</f>
        <v/>
      </c>
    </row>
    <row r="26">
      <c r="A26" s="41" t="n">
        <v>22</v>
      </c>
      <c r="B26" s="42" t="n"/>
      <c r="C26" s="42" t="n"/>
      <c r="D26" s="42" t="n"/>
      <c r="E26" s="43" t="n"/>
      <c r="F26" s="44" t="n"/>
      <c r="G26" s="45" t="n"/>
      <c r="H26" s="45" t="n"/>
      <c r="I26" s="45" t="n"/>
      <c r="J26" s="45" t="n"/>
      <c r="K26" s="45" t="n"/>
      <c r="L26" s="45" t="n"/>
      <c r="M26" s="45" t="n"/>
      <c r="N26" s="42" t="n"/>
      <c r="O26" s="44" t="n"/>
      <c r="P26" s="42" t="n"/>
      <c r="Q26" s="41">
        <f>IF(B26="","",IF(AND(F26="MEMENUHI",OR(N26="SANGAT DIREKOMENDASIKAN",N26="DIREKOMENDASIKAN",N26="DIPERTIMBANGKAN")),"Ya","Tidak"))</f>
        <v/>
      </c>
      <c r="R26" s="46">
        <f>IF(Q26&lt;&gt;"Ya","",M26+IF(O26="Ya",0.01,0)+L26/10000)</f>
        <v/>
      </c>
      <c r="S26" s="41">
        <f>IF(R26="","",COUNTIF($R$5:$R$64,"&gt;"&amp;R26)+1)</f>
        <v/>
      </c>
      <c r="T26" s="41">
        <f>IF(B26="","",IF(Q26&lt;&gt;"Ya","Tidak Lolos",IF(S26&lt;=Parameter!$C$9,"Masuk Kuota","Cadangan")))</f>
        <v/>
      </c>
    </row>
    <row r="27">
      <c r="A27" s="41" t="n">
        <v>23</v>
      </c>
      <c r="B27" s="42" t="n"/>
      <c r="C27" s="42" t="n"/>
      <c r="D27" s="42" t="n"/>
      <c r="E27" s="43" t="n"/>
      <c r="F27" s="44" t="n"/>
      <c r="G27" s="45" t="n"/>
      <c r="H27" s="45" t="n"/>
      <c r="I27" s="45" t="n"/>
      <c r="J27" s="45" t="n"/>
      <c r="K27" s="45" t="n"/>
      <c r="L27" s="45" t="n"/>
      <c r="M27" s="45" t="n"/>
      <c r="N27" s="42" t="n"/>
      <c r="O27" s="44" t="n"/>
      <c r="P27" s="42" t="n"/>
      <c r="Q27" s="41">
        <f>IF(B27="","",IF(AND(F27="MEMENUHI",OR(N27="SANGAT DIREKOMENDASIKAN",N27="DIREKOMENDASIKAN",N27="DIPERTIMBANGKAN")),"Ya","Tidak"))</f>
        <v/>
      </c>
      <c r="R27" s="46">
        <f>IF(Q27&lt;&gt;"Ya","",M27+IF(O27="Ya",0.01,0)+L27/10000)</f>
        <v/>
      </c>
      <c r="S27" s="41">
        <f>IF(R27="","",COUNTIF($R$5:$R$64,"&gt;"&amp;R27)+1)</f>
        <v/>
      </c>
      <c r="T27" s="41">
        <f>IF(B27="","",IF(Q27&lt;&gt;"Ya","Tidak Lolos",IF(S27&lt;=Parameter!$C$9,"Masuk Kuota","Cadangan")))</f>
        <v/>
      </c>
    </row>
    <row r="28">
      <c r="A28" s="41" t="n">
        <v>24</v>
      </c>
      <c r="B28" s="42" t="n"/>
      <c r="C28" s="42" t="n"/>
      <c r="D28" s="42" t="n"/>
      <c r="E28" s="43" t="n"/>
      <c r="F28" s="44" t="n"/>
      <c r="G28" s="45" t="n"/>
      <c r="H28" s="45" t="n"/>
      <c r="I28" s="45" t="n"/>
      <c r="J28" s="45" t="n"/>
      <c r="K28" s="45" t="n"/>
      <c r="L28" s="45" t="n"/>
      <c r="M28" s="45" t="n"/>
      <c r="N28" s="42" t="n"/>
      <c r="O28" s="44" t="n"/>
      <c r="P28" s="42" t="n"/>
      <c r="Q28" s="41">
        <f>IF(B28="","",IF(AND(F28="MEMENUHI",OR(N28="SANGAT DIREKOMENDASIKAN",N28="DIREKOMENDASIKAN",N28="DIPERTIMBANGKAN")),"Ya","Tidak"))</f>
        <v/>
      </c>
      <c r="R28" s="46">
        <f>IF(Q28&lt;&gt;"Ya","",M28+IF(O28="Ya",0.01,0)+L28/10000)</f>
        <v/>
      </c>
      <c r="S28" s="41">
        <f>IF(R28="","",COUNTIF($R$5:$R$64,"&gt;"&amp;R28)+1)</f>
        <v/>
      </c>
      <c r="T28" s="41">
        <f>IF(B28="","",IF(Q28&lt;&gt;"Ya","Tidak Lolos",IF(S28&lt;=Parameter!$C$9,"Masuk Kuota","Cadangan")))</f>
        <v/>
      </c>
    </row>
    <row r="29">
      <c r="A29" s="41" t="n">
        <v>25</v>
      </c>
      <c r="B29" s="42" t="n"/>
      <c r="C29" s="42" t="n"/>
      <c r="D29" s="42" t="n"/>
      <c r="E29" s="43" t="n"/>
      <c r="F29" s="44" t="n"/>
      <c r="G29" s="45" t="n"/>
      <c r="H29" s="45" t="n"/>
      <c r="I29" s="45" t="n"/>
      <c r="J29" s="45" t="n"/>
      <c r="K29" s="45" t="n"/>
      <c r="L29" s="45" t="n"/>
      <c r="M29" s="45" t="n"/>
      <c r="N29" s="42" t="n"/>
      <c r="O29" s="44" t="n"/>
      <c r="P29" s="42" t="n"/>
      <c r="Q29" s="41">
        <f>IF(B29="","",IF(AND(F29="MEMENUHI",OR(N29="SANGAT DIREKOMENDASIKAN",N29="DIREKOMENDASIKAN",N29="DIPERTIMBANGKAN")),"Ya","Tidak"))</f>
        <v/>
      </c>
      <c r="R29" s="46">
        <f>IF(Q29&lt;&gt;"Ya","",M29+IF(O29="Ya",0.01,0)+L29/10000)</f>
        <v/>
      </c>
      <c r="S29" s="41">
        <f>IF(R29="","",COUNTIF($R$5:$R$64,"&gt;"&amp;R29)+1)</f>
        <v/>
      </c>
      <c r="T29" s="41">
        <f>IF(B29="","",IF(Q29&lt;&gt;"Ya","Tidak Lolos",IF(S29&lt;=Parameter!$C$9,"Masuk Kuota","Cadangan")))</f>
        <v/>
      </c>
    </row>
    <row r="30">
      <c r="A30" s="41" t="n">
        <v>26</v>
      </c>
      <c r="B30" s="42" t="n"/>
      <c r="C30" s="42" t="n"/>
      <c r="D30" s="42" t="n"/>
      <c r="E30" s="43" t="n"/>
      <c r="F30" s="44" t="n"/>
      <c r="G30" s="45" t="n"/>
      <c r="H30" s="45" t="n"/>
      <c r="I30" s="45" t="n"/>
      <c r="J30" s="45" t="n"/>
      <c r="K30" s="45" t="n"/>
      <c r="L30" s="45" t="n"/>
      <c r="M30" s="45" t="n"/>
      <c r="N30" s="42" t="n"/>
      <c r="O30" s="44" t="n"/>
      <c r="P30" s="42" t="n"/>
      <c r="Q30" s="41">
        <f>IF(B30="","",IF(AND(F30="MEMENUHI",OR(N30="SANGAT DIREKOMENDASIKAN",N30="DIREKOMENDASIKAN",N30="DIPERTIMBANGKAN")),"Ya","Tidak"))</f>
        <v/>
      </c>
      <c r="R30" s="46">
        <f>IF(Q30&lt;&gt;"Ya","",M30+IF(O30="Ya",0.01,0)+L30/10000)</f>
        <v/>
      </c>
      <c r="S30" s="41">
        <f>IF(R30="","",COUNTIF($R$5:$R$64,"&gt;"&amp;R30)+1)</f>
        <v/>
      </c>
      <c r="T30" s="41">
        <f>IF(B30="","",IF(Q30&lt;&gt;"Ya","Tidak Lolos",IF(S30&lt;=Parameter!$C$9,"Masuk Kuota","Cadangan")))</f>
        <v/>
      </c>
    </row>
    <row r="31">
      <c r="A31" s="41" t="n">
        <v>27</v>
      </c>
      <c r="B31" s="42" t="n"/>
      <c r="C31" s="42" t="n"/>
      <c r="D31" s="42" t="n"/>
      <c r="E31" s="43" t="n"/>
      <c r="F31" s="44" t="n"/>
      <c r="G31" s="45" t="n"/>
      <c r="H31" s="45" t="n"/>
      <c r="I31" s="45" t="n"/>
      <c r="J31" s="45" t="n"/>
      <c r="K31" s="45" t="n"/>
      <c r="L31" s="45" t="n"/>
      <c r="M31" s="45" t="n"/>
      <c r="N31" s="42" t="n"/>
      <c r="O31" s="44" t="n"/>
      <c r="P31" s="42" t="n"/>
      <c r="Q31" s="41">
        <f>IF(B31="","",IF(AND(F31="MEMENUHI",OR(N31="SANGAT DIREKOMENDASIKAN",N31="DIREKOMENDASIKAN",N31="DIPERTIMBANGKAN")),"Ya","Tidak"))</f>
        <v/>
      </c>
      <c r="R31" s="46">
        <f>IF(Q31&lt;&gt;"Ya","",M31+IF(O31="Ya",0.01,0)+L31/10000)</f>
        <v/>
      </c>
      <c r="S31" s="41">
        <f>IF(R31="","",COUNTIF($R$5:$R$64,"&gt;"&amp;R31)+1)</f>
        <v/>
      </c>
      <c r="T31" s="41">
        <f>IF(B31="","",IF(Q31&lt;&gt;"Ya","Tidak Lolos",IF(S31&lt;=Parameter!$C$9,"Masuk Kuota","Cadangan")))</f>
        <v/>
      </c>
    </row>
    <row r="32">
      <c r="A32" s="41" t="n">
        <v>28</v>
      </c>
      <c r="B32" s="42" t="n"/>
      <c r="C32" s="42" t="n"/>
      <c r="D32" s="42" t="n"/>
      <c r="E32" s="43" t="n"/>
      <c r="F32" s="44" t="n"/>
      <c r="G32" s="45" t="n"/>
      <c r="H32" s="45" t="n"/>
      <c r="I32" s="45" t="n"/>
      <c r="J32" s="45" t="n"/>
      <c r="K32" s="45" t="n"/>
      <c r="L32" s="45" t="n"/>
      <c r="M32" s="45" t="n"/>
      <c r="N32" s="42" t="n"/>
      <c r="O32" s="44" t="n"/>
      <c r="P32" s="42" t="n"/>
      <c r="Q32" s="41">
        <f>IF(B32="","",IF(AND(F32="MEMENUHI",OR(N32="SANGAT DIREKOMENDASIKAN",N32="DIREKOMENDASIKAN",N32="DIPERTIMBANGKAN")),"Ya","Tidak"))</f>
        <v/>
      </c>
      <c r="R32" s="46">
        <f>IF(Q32&lt;&gt;"Ya","",M32+IF(O32="Ya",0.01,0)+L32/10000)</f>
        <v/>
      </c>
      <c r="S32" s="41">
        <f>IF(R32="","",COUNTIF($R$5:$R$64,"&gt;"&amp;R32)+1)</f>
        <v/>
      </c>
      <c r="T32" s="41">
        <f>IF(B32="","",IF(Q32&lt;&gt;"Ya","Tidak Lolos",IF(S32&lt;=Parameter!$C$9,"Masuk Kuota","Cadangan")))</f>
        <v/>
      </c>
    </row>
    <row r="33">
      <c r="A33" s="41" t="n">
        <v>29</v>
      </c>
      <c r="B33" s="42" t="n"/>
      <c r="C33" s="42" t="n"/>
      <c r="D33" s="42" t="n"/>
      <c r="E33" s="43" t="n"/>
      <c r="F33" s="44" t="n"/>
      <c r="G33" s="45" t="n"/>
      <c r="H33" s="45" t="n"/>
      <c r="I33" s="45" t="n"/>
      <c r="J33" s="45" t="n"/>
      <c r="K33" s="45" t="n"/>
      <c r="L33" s="45" t="n"/>
      <c r="M33" s="45" t="n"/>
      <c r="N33" s="42" t="n"/>
      <c r="O33" s="44" t="n"/>
      <c r="P33" s="42" t="n"/>
      <c r="Q33" s="41">
        <f>IF(B33="","",IF(AND(F33="MEMENUHI",OR(N33="SANGAT DIREKOMENDASIKAN",N33="DIREKOMENDASIKAN",N33="DIPERTIMBANGKAN")),"Ya","Tidak"))</f>
        <v/>
      </c>
      <c r="R33" s="46">
        <f>IF(Q33&lt;&gt;"Ya","",M33+IF(O33="Ya",0.01,0)+L33/10000)</f>
        <v/>
      </c>
      <c r="S33" s="41">
        <f>IF(R33="","",COUNTIF($R$5:$R$64,"&gt;"&amp;R33)+1)</f>
        <v/>
      </c>
      <c r="T33" s="41">
        <f>IF(B33="","",IF(Q33&lt;&gt;"Ya","Tidak Lolos",IF(S33&lt;=Parameter!$C$9,"Masuk Kuota","Cadangan")))</f>
        <v/>
      </c>
    </row>
    <row r="34">
      <c r="A34" s="41" t="n">
        <v>30</v>
      </c>
      <c r="B34" s="42" t="n"/>
      <c r="C34" s="42" t="n"/>
      <c r="D34" s="42" t="n"/>
      <c r="E34" s="43" t="n"/>
      <c r="F34" s="44" t="n"/>
      <c r="G34" s="45" t="n"/>
      <c r="H34" s="45" t="n"/>
      <c r="I34" s="45" t="n"/>
      <c r="J34" s="45" t="n"/>
      <c r="K34" s="45" t="n"/>
      <c r="L34" s="45" t="n"/>
      <c r="M34" s="45" t="n"/>
      <c r="N34" s="42" t="n"/>
      <c r="O34" s="44" t="n"/>
      <c r="P34" s="42" t="n"/>
      <c r="Q34" s="41">
        <f>IF(B34="","",IF(AND(F34="MEMENUHI",OR(N34="SANGAT DIREKOMENDASIKAN",N34="DIREKOMENDASIKAN",N34="DIPERTIMBANGKAN")),"Ya","Tidak"))</f>
        <v/>
      </c>
      <c r="R34" s="46">
        <f>IF(Q34&lt;&gt;"Ya","",M34+IF(O34="Ya",0.01,0)+L34/10000)</f>
        <v/>
      </c>
      <c r="S34" s="41">
        <f>IF(R34="","",COUNTIF($R$5:$R$64,"&gt;"&amp;R34)+1)</f>
        <v/>
      </c>
      <c r="T34" s="41">
        <f>IF(B34="","",IF(Q34&lt;&gt;"Ya","Tidak Lolos",IF(S34&lt;=Parameter!$C$9,"Masuk Kuota","Cadangan")))</f>
        <v/>
      </c>
    </row>
    <row r="35">
      <c r="A35" s="41" t="n">
        <v>31</v>
      </c>
      <c r="B35" s="42" t="n"/>
      <c r="C35" s="42" t="n"/>
      <c r="D35" s="42" t="n"/>
      <c r="E35" s="43" t="n"/>
      <c r="F35" s="44" t="n"/>
      <c r="G35" s="45" t="n"/>
      <c r="H35" s="45" t="n"/>
      <c r="I35" s="45" t="n"/>
      <c r="J35" s="45" t="n"/>
      <c r="K35" s="45" t="n"/>
      <c r="L35" s="45" t="n"/>
      <c r="M35" s="45" t="n"/>
      <c r="N35" s="42" t="n"/>
      <c r="O35" s="44" t="n"/>
      <c r="P35" s="42" t="n"/>
      <c r="Q35" s="41">
        <f>IF(B35="","",IF(AND(F35="MEMENUHI",OR(N35="SANGAT DIREKOMENDASIKAN",N35="DIREKOMENDASIKAN",N35="DIPERTIMBANGKAN")),"Ya","Tidak"))</f>
        <v/>
      </c>
      <c r="R35" s="46">
        <f>IF(Q35&lt;&gt;"Ya","",M35+IF(O35="Ya",0.01,0)+L35/10000)</f>
        <v/>
      </c>
      <c r="S35" s="41">
        <f>IF(R35="","",COUNTIF($R$5:$R$64,"&gt;"&amp;R35)+1)</f>
        <v/>
      </c>
      <c r="T35" s="41">
        <f>IF(B35="","",IF(Q35&lt;&gt;"Ya","Tidak Lolos",IF(S35&lt;=Parameter!$C$9,"Masuk Kuota","Cadangan")))</f>
        <v/>
      </c>
    </row>
    <row r="36">
      <c r="A36" s="41" t="n">
        <v>32</v>
      </c>
      <c r="B36" s="42" t="n"/>
      <c r="C36" s="42" t="n"/>
      <c r="D36" s="42" t="n"/>
      <c r="E36" s="43" t="n"/>
      <c r="F36" s="44" t="n"/>
      <c r="G36" s="45" t="n"/>
      <c r="H36" s="45" t="n"/>
      <c r="I36" s="45" t="n"/>
      <c r="J36" s="45" t="n"/>
      <c r="K36" s="45" t="n"/>
      <c r="L36" s="45" t="n"/>
      <c r="M36" s="45" t="n"/>
      <c r="N36" s="42" t="n"/>
      <c r="O36" s="44" t="n"/>
      <c r="P36" s="42" t="n"/>
      <c r="Q36" s="41">
        <f>IF(B36="","",IF(AND(F36="MEMENUHI",OR(N36="SANGAT DIREKOMENDASIKAN",N36="DIREKOMENDASIKAN",N36="DIPERTIMBANGKAN")),"Ya","Tidak"))</f>
        <v/>
      </c>
      <c r="R36" s="46">
        <f>IF(Q36&lt;&gt;"Ya","",M36+IF(O36="Ya",0.01,0)+L36/10000)</f>
        <v/>
      </c>
      <c r="S36" s="41">
        <f>IF(R36="","",COUNTIF($R$5:$R$64,"&gt;"&amp;R36)+1)</f>
        <v/>
      </c>
      <c r="T36" s="41">
        <f>IF(B36="","",IF(Q36&lt;&gt;"Ya","Tidak Lolos",IF(S36&lt;=Parameter!$C$9,"Masuk Kuota","Cadangan")))</f>
        <v/>
      </c>
    </row>
    <row r="37">
      <c r="A37" s="41" t="n">
        <v>33</v>
      </c>
      <c r="B37" s="42" t="n"/>
      <c r="C37" s="42" t="n"/>
      <c r="D37" s="42" t="n"/>
      <c r="E37" s="43" t="n"/>
      <c r="F37" s="44" t="n"/>
      <c r="G37" s="45" t="n"/>
      <c r="H37" s="45" t="n"/>
      <c r="I37" s="45" t="n"/>
      <c r="J37" s="45" t="n"/>
      <c r="K37" s="45" t="n"/>
      <c r="L37" s="45" t="n"/>
      <c r="M37" s="45" t="n"/>
      <c r="N37" s="42" t="n"/>
      <c r="O37" s="44" t="n"/>
      <c r="P37" s="42" t="n"/>
      <c r="Q37" s="41">
        <f>IF(B37="","",IF(AND(F37="MEMENUHI",OR(N37="SANGAT DIREKOMENDASIKAN",N37="DIREKOMENDASIKAN",N37="DIPERTIMBANGKAN")),"Ya","Tidak"))</f>
        <v/>
      </c>
      <c r="R37" s="46">
        <f>IF(Q37&lt;&gt;"Ya","",M37+IF(O37="Ya",0.01,0)+L37/10000)</f>
        <v/>
      </c>
      <c r="S37" s="41">
        <f>IF(R37="","",COUNTIF($R$5:$R$64,"&gt;"&amp;R37)+1)</f>
        <v/>
      </c>
      <c r="T37" s="41">
        <f>IF(B37="","",IF(Q37&lt;&gt;"Ya","Tidak Lolos",IF(S37&lt;=Parameter!$C$9,"Masuk Kuota","Cadangan")))</f>
        <v/>
      </c>
    </row>
    <row r="38">
      <c r="A38" s="41" t="n">
        <v>34</v>
      </c>
      <c r="B38" s="42" t="n"/>
      <c r="C38" s="42" t="n"/>
      <c r="D38" s="42" t="n"/>
      <c r="E38" s="43" t="n"/>
      <c r="F38" s="44" t="n"/>
      <c r="G38" s="45" t="n"/>
      <c r="H38" s="45" t="n"/>
      <c r="I38" s="45" t="n"/>
      <c r="J38" s="45" t="n"/>
      <c r="K38" s="45" t="n"/>
      <c r="L38" s="45" t="n"/>
      <c r="M38" s="45" t="n"/>
      <c r="N38" s="42" t="n"/>
      <c r="O38" s="44" t="n"/>
      <c r="P38" s="42" t="n"/>
      <c r="Q38" s="41">
        <f>IF(B38="","",IF(AND(F38="MEMENUHI",OR(N38="SANGAT DIREKOMENDASIKAN",N38="DIREKOMENDASIKAN",N38="DIPERTIMBANGKAN")),"Ya","Tidak"))</f>
        <v/>
      </c>
      <c r="R38" s="46">
        <f>IF(Q38&lt;&gt;"Ya","",M38+IF(O38="Ya",0.01,0)+L38/10000)</f>
        <v/>
      </c>
      <c r="S38" s="41">
        <f>IF(R38="","",COUNTIF($R$5:$R$64,"&gt;"&amp;R38)+1)</f>
        <v/>
      </c>
      <c r="T38" s="41">
        <f>IF(B38="","",IF(Q38&lt;&gt;"Ya","Tidak Lolos",IF(S38&lt;=Parameter!$C$9,"Masuk Kuota","Cadangan")))</f>
        <v/>
      </c>
    </row>
    <row r="39">
      <c r="A39" s="41" t="n">
        <v>35</v>
      </c>
      <c r="B39" s="42" t="n"/>
      <c r="C39" s="42" t="n"/>
      <c r="D39" s="42" t="n"/>
      <c r="E39" s="43" t="n"/>
      <c r="F39" s="44" t="n"/>
      <c r="G39" s="45" t="n"/>
      <c r="H39" s="45" t="n"/>
      <c r="I39" s="45" t="n"/>
      <c r="J39" s="45" t="n"/>
      <c r="K39" s="45" t="n"/>
      <c r="L39" s="45" t="n"/>
      <c r="M39" s="45" t="n"/>
      <c r="N39" s="42" t="n"/>
      <c r="O39" s="44" t="n"/>
      <c r="P39" s="42" t="n"/>
      <c r="Q39" s="41">
        <f>IF(B39="","",IF(AND(F39="MEMENUHI",OR(N39="SANGAT DIREKOMENDASIKAN",N39="DIREKOMENDASIKAN",N39="DIPERTIMBANGKAN")),"Ya","Tidak"))</f>
        <v/>
      </c>
      <c r="R39" s="46">
        <f>IF(Q39&lt;&gt;"Ya","",M39+IF(O39="Ya",0.01,0)+L39/10000)</f>
        <v/>
      </c>
      <c r="S39" s="41">
        <f>IF(R39="","",COUNTIF($R$5:$R$64,"&gt;"&amp;R39)+1)</f>
        <v/>
      </c>
      <c r="T39" s="41">
        <f>IF(B39="","",IF(Q39&lt;&gt;"Ya","Tidak Lolos",IF(S39&lt;=Parameter!$C$9,"Masuk Kuota","Cadangan")))</f>
        <v/>
      </c>
    </row>
    <row r="40">
      <c r="A40" s="41" t="n">
        <v>36</v>
      </c>
      <c r="B40" s="42" t="n"/>
      <c r="C40" s="42" t="n"/>
      <c r="D40" s="42" t="n"/>
      <c r="E40" s="43" t="n"/>
      <c r="F40" s="44" t="n"/>
      <c r="G40" s="45" t="n"/>
      <c r="H40" s="45" t="n"/>
      <c r="I40" s="45" t="n"/>
      <c r="J40" s="45" t="n"/>
      <c r="K40" s="45" t="n"/>
      <c r="L40" s="45" t="n"/>
      <c r="M40" s="45" t="n"/>
      <c r="N40" s="42" t="n"/>
      <c r="O40" s="44" t="n"/>
      <c r="P40" s="42" t="n"/>
      <c r="Q40" s="41">
        <f>IF(B40="","",IF(AND(F40="MEMENUHI",OR(N40="SANGAT DIREKOMENDASIKAN",N40="DIREKOMENDASIKAN",N40="DIPERTIMBANGKAN")),"Ya","Tidak"))</f>
        <v/>
      </c>
      <c r="R40" s="46">
        <f>IF(Q40&lt;&gt;"Ya","",M40+IF(O40="Ya",0.01,0)+L40/10000)</f>
        <v/>
      </c>
      <c r="S40" s="41">
        <f>IF(R40="","",COUNTIF($R$5:$R$64,"&gt;"&amp;R40)+1)</f>
        <v/>
      </c>
      <c r="T40" s="41">
        <f>IF(B40="","",IF(Q40&lt;&gt;"Ya","Tidak Lolos",IF(S40&lt;=Parameter!$C$9,"Masuk Kuota","Cadangan")))</f>
        <v/>
      </c>
    </row>
    <row r="41">
      <c r="A41" s="41" t="n">
        <v>37</v>
      </c>
      <c r="B41" s="42" t="n"/>
      <c r="C41" s="42" t="n"/>
      <c r="D41" s="42" t="n"/>
      <c r="E41" s="43" t="n"/>
      <c r="F41" s="44" t="n"/>
      <c r="G41" s="45" t="n"/>
      <c r="H41" s="45" t="n"/>
      <c r="I41" s="45" t="n"/>
      <c r="J41" s="45" t="n"/>
      <c r="K41" s="45" t="n"/>
      <c r="L41" s="45" t="n"/>
      <c r="M41" s="45" t="n"/>
      <c r="N41" s="42" t="n"/>
      <c r="O41" s="44" t="n"/>
      <c r="P41" s="42" t="n"/>
      <c r="Q41" s="41">
        <f>IF(B41="","",IF(AND(F41="MEMENUHI",OR(N41="SANGAT DIREKOMENDASIKAN",N41="DIREKOMENDASIKAN",N41="DIPERTIMBANGKAN")),"Ya","Tidak"))</f>
        <v/>
      </c>
      <c r="R41" s="46">
        <f>IF(Q41&lt;&gt;"Ya","",M41+IF(O41="Ya",0.01,0)+L41/10000)</f>
        <v/>
      </c>
      <c r="S41" s="41">
        <f>IF(R41="","",COUNTIF($R$5:$R$64,"&gt;"&amp;R41)+1)</f>
        <v/>
      </c>
      <c r="T41" s="41">
        <f>IF(B41="","",IF(Q41&lt;&gt;"Ya","Tidak Lolos",IF(S41&lt;=Parameter!$C$9,"Masuk Kuota","Cadangan")))</f>
        <v/>
      </c>
    </row>
    <row r="42">
      <c r="A42" s="41" t="n">
        <v>38</v>
      </c>
      <c r="B42" s="42" t="n"/>
      <c r="C42" s="42" t="n"/>
      <c r="D42" s="42" t="n"/>
      <c r="E42" s="43" t="n"/>
      <c r="F42" s="44" t="n"/>
      <c r="G42" s="45" t="n"/>
      <c r="H42" s="45" t="n"/>
      <c r="I42" s="45" t="n"/>
      <c r="J42" s="45" t="n"/>
      <c r="K42" s="45" t="n"/>
      <c r="L42" s="45" t="n"/>
      <c r="M42" s="45" t="n"/>
      <c r="N42" s="42" t="n"/>
      <c r="O42" s="44" t="n"/>
      <c r="P42" s="42" t="n"/>
      <c r="Q42" s="41">
        <f>IF(B42="","",IF(AND(F42="MEMENUHI",OR(N42="SANGAT DIREKOMENDASIKAN",N42="DIREKOMENDASIKAN",N42="DIPERTIMBANGKAN")),"Ya","Tidak"))</f>
        <v/>
      </c>
      <c r="R42" s="46">
        <f>IF(Q42&lt;&gt;"Ya","",M42+IF(O42="Ya",0.01,0)+L42/10000)</f>
        <v/>
      </c>
      <c r="S42" s="41">
        <f>IF(R42="","",COUNTIF($R$5:$R$64,"&gt;"&amp;R42)+1)</f>
        <v/>
      </c>
      <c r="T42" s="41">
        <f>IF(B42="","",IF(Q42&lt;&gt;"Ya","Tidak Lolos",IF(S42&lt;=Parameter!$C$9,"Masuk Kuota","Cadangan")))</f>
        <v/>
      </c>
    </row>
    <row r="43">
      <c r="A43" s="41" t="n">
        <v>39</v>
      </c>
      <c r="B43" s="42" t="n"/>
      <c r="C43" s="42" t="n"/>
      <c r="D43" s="42" t="n"/>
      <c r="E43" s="43" t="n"/>
      <c r="F43" s="44" t="n"/>
      <c r="G43" s="45" t="n"/>
      <c r="H43" s="45" t="n"/>
      <c r="I43" s="45" t="n"/>
      <c r="J43" s="45" t="n"/>
      <c r="K43" s="45" t="n"/>
      <c r="L43" s="45" t="n"/>
      <c r="M43" s="45" t="n"/>
      <c r="N43" s="42" t="n"/>
      <c r="O43" s="44" t="n"/>
      <c r="P43" s="42" t="n"/>
      <c r="Q43" s="41">
        <f>IF(B43="","",IF(AND(F43="MEMENUHI",OR(N43="SANGAT DIREKOMENDASIKAN",N43="DIREKOMENDASIKAN",N43="DIPERTIMBANGKAN")),"Ya","Tidak"))</f>
        <v/>
      </c>
      <c r="R43" s="46">
        <f>IF(Q43&lt;&gt;"Ya","",M43+IF(O43="Ya",0.01,0)+L43/10000)</f>
        <v/>
      </c>
      <c r="S43" s="41">
        <f>IF(R43="","",COUNTIF($R$5:$R$64,"&gt;"&amp;R43)+1)</f>
        <v/>
      </c>
      <c r="T43" s="41">
        <f>IF(B43="","",IF(Q43&lt;&gt;"Ya","Tidak Lolos",IF(S43&lt;=Parameter!$C$9,"Masuk Kuota","Cadangan")))</f>
        <v/>
      </c>
    </row>
    <row r="44">
      <c r="A44" s="41" t="n">
        <v>40</v>
      </c>
      <c r="B44" s="42" t="n"/>
      <c r="C44" s="42" t="n"/>
      <c r="D44" s="42" t="n"/>
      <c r="E44" s="43" t="n"/>
      <c r="F44" s="44" t="n"/>
      <c r="G44" s="45" t="n"/>
      <c r="H44" s="45" t="n"/>
      <c r="I44" s="45" t="n"/>
      <c r="J44" s="45" t="n"/>
      <c r="K44" s="45" t="n"/>
      <c r="L44" s="45" t="n"/>
      <c r="M44" s="45" t="n"/>
      <c r="N44" s="42" t="n"/>
      <c r="O44" s="44" t="n"/>
      <c r="P44" s="42" t="n"/>
      <c r="Q44" s="41">
        <f>IF(B44="","",IF(AND(F44="MEMENUHI",OR(N44="SANGAT DIREKOMENDASIKAN",N44="DIREKOMENDASIKAN",N44="DIPERTIMBANGKAN")),"Ya","Tidak"))</f>
        <v/>
      </c>
      <c r="R44" s="46">
        <f>IF(Q44&lt;&gt;"Ya","",M44+IF(O44="Ya",0.01,0)+L44/10000)</f>
        <v/>
      </c>
      <c r="S44" s="41">
        <f>IF(R44="","",COUNTIF($R$5:$R$64,"&gt;"&amp;R44)+1)</f>
        <v/>
      </c>
      <c r="T44" s="41">
        <f>IF(B44="","",IF(Q44&lt;&gt;"Ya","Tidak Lolos",IF(S44&lt;=Parameter!$C$9,"Masuk Kuota","Cadangan")))</f>
        <v/>
      </c>
    </row>
    <row r="45">
      <c r="A45" s="41" t="n">
        <v>41</v>
      </c>
      <c r="B45" s="42" t="n"/>
      <c r="C45" s="42" t="n"/>
      <c r="D45" s="42" t="n"/>
      <c r="E45" s="43" t="n"/>
      <c r="F45" s="44" t="n"/>
      <c r="G45" s="45" t="n"/>
      <c r="H45" s="45" t="n"/>
      <c r="I45" s="45" t="n"/>
      <c r="J45" s="45" t="n"/>
      <c r="K45" s="45" t="n"/>
      <c r="L45" s="45" t="n"/>
      <c r="M45" s="45" t="n"/>
      <c r="N45" s="42" t="n"/>
      <c r="O45" s="44" t="n"/>
      <c r="P45" s="42" t="n"/>
      <c r="Q45" s="41">
        <f>IF(B45="","",IF(AND(F45="MEMENUHI",OR(N45="SANGAT DIREKOMENDASIKAN",N45="DIREKOMENDASIKAN",N45="DIPERTIMBANGKAN")),"Ya","Tidak"))</f>
        <v/>
      </c>
      <c r="R45" s="46">
        <f>IF(Q45&lt;&gt;"Ya","",M45+IF(O45="Ya",0.01,0)+L45/10000)</f>
        <v/>
      </c>
      <c r="S45" s="41">
        <f>IF(R45="","",COUNTIF($R$5:$R$64,"&gt;"&amp;R45)+1)</f>
        <v/>
      </c>
      <c r="T45" s="41">
        <f>IF(B45="","",IF(Q45&lt;&gt;"Ya","Tidak Lolos",IF(S45&lt;=Parameter!$C$9,"Masuk Kuota","Cadangan")))</f>
        <v/>
      </c>
    </row>
    <row r="46">
      <c r="A46" s="41" t="n">
        <v>42</v>
      </c>
      <c r="B46" s="42" t="n"/>
      <c r="C46" s="42" t="n"/>
      <c r="D46" s="42" t="n"/>
      <c r="E46" s="43" t="n"/>
      <c r="F46" s="44" t="n"/>
      <c r="G46" s="45" t="n"/>
      <c r="H46" s="45" t="n"/>
      <c r="I46" s="45" t="n"/>
      <c r="J46" s="45" t="n"/>
      <c r="K46" s="45" t="n"/>
      <c r="L46" s="45" t="n"/>
      <c r="M46" s="45" t="n"/>
      <c r="N46" s="42" t="n"/>
      <c r="O46" s="44" t="n"/>
      <c r="P46" s="42" t="n"/>
      <c r="Q46" s="41">
        <f>IF(B46="","",IF(AND(F46="MEMENUHI",OR(N46="SANGAT DIREKOMENDASIKAN",N46="DIREKOMENDASIKAN",N46="DIPERTIMBANGKAN")),"Ya","Tidak"))</f>
        <v/>
      </c>
      <c r="R46" s="46">
        <f>IF(Q46&lt;&gt;"Ya","",M46+IF(O46="Ya",0.01,0)+L46/10000)</f>
        <v/>
      </c>
      <c r="S46" s="41">
        <f>IF(R46="","",COUNTIF($R$5:$R$64,"&gt;"&amp;R46)+1)</f>
        <v/>
      </c>
      <c r="T46" s="41">
        <f>IF(B46="","",IF(Q46&lt;&gt;"Ya","Tidak Lolos",IF(S46&lt;=Parameter!$C$9,"Masuk Kuota","Cadangan")))</f>
        <v/>
      </c>
    </row>
    <row r="47">
      <c r="A47" s="41" t="n">
        <v>43</v>
      </c>
      <c r="B47" s="42" t="n"/>
      <c r="C47" s="42" t="n"/>
      <c r="D47" s="42" t="n"/>
      <c r="E47" s="43" t="n"/>
      <c r="F47" s="44" t="n"/>
      <c r="G47" s="45" t="n"/>
      <c r="H47" s="45" t="n"/>
      <c r="I47" s="45" t="n"/>
      <c r="J47" s="45" t="n"/>
      <c r="K47" s="45" t="n"/>
      <c r="L47" s="45" t="n"/>
      <c r="M47" s="45" t="n"/>
      <c r="N47" s="42" t="n"/>
      <c r="O47" s="44" t="n"/>
      <c r="P47" s="42" t="n"/>
      <c r="Q47" s="41">
        <f>IF(B47="","",IF(AND(F47="MEMENUHI",OR(N47="SANGAT DIREKOMENDASIKAN",N47="DIREKOMENDASIKAN",N47="DIPERTIMBANGKAN")),"Ya","Tidak"))</f>
        <v/>
      </c>
      <c r="R47" s="46">
        <f>IF(Q47&lt;&gt;"Ya","",M47+IF(O47="Ya",0.01,0)+L47/10000)</f>
        <v/>
      </c>
      <c r="S47" s="41">
        <f>IF(R47="","",COUNTIF($R$5:$R$64,"&gt;"&amp;R47)+1)</f>
        <v/>
      </c>
      <c r="T47" s="41">
        <f>IF(B47="","",IF(Q47&lt;&gt;"Ya","Tidak Lolos",IF(S47&lt;=Parameter!$C$9,"Masuk Kuota","Cadangan")))</f>
        <v/>
      </c>
    </row>
    <row r="48">
      <c r="A48" s="41" t="n">
        <v>44</v>
      </c>
      <c r="B48" s="42" t="n"/>
      <c r="C48" s="42" t="n"/>
      <c r="D48" s="42" t="n"/>
      <c r="E48" s="43" t="n"/>
      <c r="F48" s="44" t="n"/>
      <c r="G48" s="45" t="n"/>
      <c r="H48" s="45" t="n"/>
      <c r="I48" s="45" t="n"/>
      <c r="J48" s="45" t="n"/>
      <c r="K48" s="45" t="n"/>
      <c r="L48" s="45" t="n"/>
      <c r="M48" s="45" t="n"/>
      <c r="N48" s="42" t="n"/>
      <c r="O48" s="44" t="n"/>
      <c r="P48" s="42" t="n"/>
      <c r="Q48" s="41">
        <f>IF(B48="","",IF(AND(F48="MEMENUHI",OR(N48="SANGAT DIREKOMENDASIKAN",N48="DIREKOMENDASIKAN",N48="DIPERTIMBANGKAN")),"Ya","Tidak"))</f>
        <v/>
      </c>
      <c r="R48" s="46">
        <f>IF(Q48&lt;&gt;"Ya","",M48+IF(O48="Ya",0.01,0)+L48/10000)</f>
        <v/>
      </c>
      <c r="S48" s="41">
        <f>IF(R48="","",COUNTIF($R$5:$R$64,"&gt;"&amp;R48)+1)</f>
        <v/>
      </c>
      <c r="T48" s="41">
        <f>IF(B48="","",IF(Q48&lt;&gt;"Ya","Tidak Lolos",IF(S48&lt;=Parameter!$C$9,"Masuk Kuota","Cadangan")))</f>
        <v/>
      </c>
    </row>
    <row r="49">
      <c r="A49" s="41" t="n">
        <v>45</v>
      </c>
      <c r="B49" s="42" t="n"/>
      <c r="C49" s="42" t="n"/>
      <c r="D49" s="42" t="n"/>
      <c r="E49" s="43" t="n"/>
      <c r="F49" s="44" t="n"/>
      <c r="G49" s="45" t="n"/>
      <c r="H49" s="45" t="n"/>
      <c r="I49" s="45" t="n"/>
      <c r="J49" s="45" t="n"/>
      <c r="K49" s="45" t="n"/>
      <c r="L49" s="45" t="n"/>
      <c r="M49" s="45" t="n"/>
      <c r="N49" s="42" t="n"/>
      <c r="O49" s="44" t="n"/>
      <c r="P49" s="42" t="n"/>
      <c r="Q49" s="41">
        <f>IF(B49="","",IF(AND(F49="MEMENUHI",OR(N49="SANGAT DIREKOMENDASIKAN",N49="DIREKOMENDASIKAN",N49="DIPERTIMBANGKAN")),"Ya","Tidak"))</f>
        <v/>
      </c>
      <c r="R49" s="46">
        <f>IF(Q49&lt;&gt;"Ya","",M49+IF(O49="Ya",0.01,0)+L49/10000)</f>
        <v/>
      </c>
      <c r="S49" s="41">
        <f>IF(R49="","",COUNTIF($R$5:$R$64,"&gt;"&amp;R49)+1)</f>
        <v/>
      </c>
      <c r="T49" s="41">
        <f>IF(B49="","",IF(Q49&lt;&gt;"Ya","Tidak Lolos",IF(S49&lt;=Parameter!$C$9,"Masuk Kuota","Cadangan")))</f>
        <v/>
      </c>
    </row>
    <row r="50">
      <c r="A50" s="41" t="n">
        <v>46</v>
      </c>
      <c r="B50" s="42" t="n"/>
      <c r="C50" s="42" t="n"/>
      <c r="D50" s="42" t="n"/>
      <c r="E50" s="43" t="n"/>
      <c r="F50" s="44" t="n"/>
      <c r="G50" s="45" t="n"/>
      <c r="H50" s="45" t="n"/>
      <c r="I50" s="45" t="n"/>
      <c r="J50" s="45" t="n"/>
      <c r="K50" s="45" t="n"/>
      <c r="L50" s="45" t="n"/>
      <c r="M50" s="45" t="n"/>
      <c r="N50" s="42" t="n"/>
      <c r="O50" s="44" t="n"/>
      <c r="P50" s="42" t="n"/>
      <c r="Q50" s="41">
        <f>IF(B50="","",IF(AND(F50="MEMENUHI",OR(N50="SANGAT DIREKOMENDASIKAN",N50="DIREKOMENDASIKAN",N50="DIPERTIMBANGKAN")),"Ya","Tidak"))</f>
        <v/>
      </c>
      <c r="R50" s="46">
        <f>IF(Q50&lt;&gt;"Ya","",M50+IF(O50="Ya",0.01,0)+L50/10000)</f>
        <v/>
      </c>
      <c r="S50" s="41">
        <f>IF(R50="","",COUNTIF($R$5:$R$64,"&gt;"&amp;R50)+1)</f>
        <v/>
      </c>
      <c r="T50" s="41">
        <f>IF(B50="","",IF(Q50&lt;&gt;"Ya","Tidak Lolos",IF(S50&lt;=Parameter!$C$9,"Masuk Kuota","Cadangan")))</f>
        <v/>
      </c>
    </row>
    <row r="51">
      <c r="A51" s="41" t="n">
        <v>47</v>
      </c>
      <c r="B51" s="42" t="n"/>
      <c r="C51" s="42" t="n"/>
      <c r="D51" s="42" t="n"/>
      <c r="E51" s="43" t="n"/>
      <c r="F51" s="44" t="n"/>
      <c r="G51" s="45" t="n"/>
      <c r="H51" s="45" t="n"/>
      <c r="I51" s="45" t="n"/>
      <c r="J51" s="45" t="n"/>
      <c r="K51" s="45" t="n"/>
      <c r="L51" s="45" t="n"/>
      <c r="M51" s="45" t="n"/>
      <c r="N51" s="42" t="n"/>
      <c r="O51" s="44" t="n"/>
      <c r="P51" s="42" t="n"/>
      <c r="Q51" s="41">
        <f>IF(B51="","",IF(AND(F51="MEMENUHI",OR(N51="SANGAT DIREKOMENDASIKAN",N51="DIREKOMENDASIKAN",N51="DIPERTIMBANGKAN")),"Ya","Tidak"))</f>
        <v/>
      </c>
      <c r="R51" s="46">
        <f>IF(Q51&lt;&gt;"Ya","",M51+IF(O51="Ya",0.01,0)+L51/10000)</f>
        <v/>
      </c>
      <c r="S51" s="41">
        <f>IF(R51="","",COUNTIF($R$5:$R$64,"&gt;"&amp;R51)+1)</f>
        <v/>
      </c>
      <c r="T51" s="41">
        <f>IF(B51="","",IF(Q51&lt;&gt;"Ya","Tidak Lolos",IF(S51&lt;=Parameter!$C$9,"Masuk Kuota","Cadangan")))</f>
        <v/>
      </c>
    </row>
    <row r="52">
      <c r="A52" s="41" t="n">
        <v>48</v>
      </c>
      <c r="B52" s="42" t="n"/>
      <c r="C52" s="42" t="n"/>
      <c r="D52" s="42" t="n"/>
      <c r="E52" s="43" t="n"/>
      <c r="F52" s="44" t="n"/>
      <c r="G52" s="45" t="n"/>
      <c r="H52" s="45" t="n"/>
      <c r="I52" s="45" t="n"/>
      <c r="J52" s="45" t="n"/>
      <c r="K52" s="45" t="n"/>
      <c r="L52" s="45" t="n"/>
      <c r="M52" s="45" t="n"/>
      <c r="N52" s="42" t="n"/>
      <c r="O52" s="44" t="n"/>
      <c r="P52" s="42" t="n"/>
      <c r="Q52" s="41">
        <f>IF(B52="","",IF(AND(F52="MEMENUHI",OR(N52="SANGAT DIREKOMENDASIKAN",N52="DIREKOMENDASIKAN",N52="DIPERTIMBANGKAN")),"Ya","Tidak"))</f>
        <v/>
      </c>
      <c r="R52" s="46">
        <f>IF(Q52&lt;&gt;"Ya","",M52+IF(O52="Ya",0.01,0)+L52/10000)</f>
        <v/>
      </c>
      <c r="S52" s="41">
        <f>IF(R52="","",COUNTIF($R$5:$R$64,"&gt;"&amp;R52)+1)</f>
        <v/>
      </c>
      <c r="T52" s="41">
        <f>IF(B52="","",IF(Q52&lt;&gt;"Ya","Tidak Lolos",IF(S52&lt;=Parameter!$C$9,"Masuk Kuota","Cadangan")))</f>
        <v/>
      </c>
    </row>
    <row r="53">
      <c r="A53" s="41" t="n">
        <v>49</v>
      </c>
      <c r="B53" s="42" t="n"/>
      <c r="C53" s="42" t="n"/>
      <c r="D53" s="42" t="n"/>
      <c r="E53" s="43" t="n"/>
      <c r="F53" s="44" t="n"/>
      <c r="G53" s="45" t="n"/>
      <c r="H53" s="45" t="n"/>
      <c r="I53" s="45" t="n"/>
      <c r="J53" s="45" t="n"/>
      <c r="K53" s="45" t="n"/>
      <c r="L53" s="45" t="n"/>
      <c r="M53" s="45" t="n"/>
      <c r="N53" s="42" t="n"/>
      <c r="O53" s="44" t="n"/>
      <c r="P53" s="42" t="n"/>
      <c r="Q53" s="41">
        <f>IF(B53="","",IF(AND(F53="MEMENUHI",OR(N53="SANGAT DIREKOMENDASIKAN",N53="DIREKOMENDASIKAN",N53="DIPERTIMBANGKAN")),"Ya","Tidak"))</f>
        <v/>
      </c>
      <c r="R53" s="46">
        <f>IF(Q53&lt;&gt;"Ya","",M53+IF(O53="Ya",0.01,0)+L53/10000)</f>
        <v/>
      </c>
      <c r="S53" s="41">
        <f>IF(R53="","",COUNTIF($R$5:$R$64,"&gt;"&amp;R53)+1)</f>
        <v/>
      </c>
      <c r="T53" s="41">
        <f>IF(B53="","",IF(Q53&lt;&gt;"Ya","Tidak Lolos",IF(S53&lt;=Parameter!$C$9,"Masuk Kuota","Cadangan")))</f>
        <v/>
      </c>
    </row>
    <row r="54">
      <c r="A54" s="41" t="n">
        <v>50</v>
      </c>
      <c r="B54" s="42" t="n"/>
      <c r="C54" s="42" t="n"/>
      <c r="D54" s="42" t="n"/>
      <c r="E54" s="43" t="n"/>
      <c r="F54" s="44" t="n"/>
      <c r="G54" s="45" t="n"/>
      <c r="H54" s="45" t="n"/>
      <c r="I54" s="45" t="n"/>
      <c r="J54" s="45" t="n"/>
      <c r="K54" s="45" t="n"/>
      <c r="L54" s="45" t="n"/>
      <c r="M54" s="45" t="n"/>
      <c r="N54" s="42" t="n"/>
      <c r="O54" s="44" t="n"/>
      <c r="P54" s="42" t="n"/>
      <c r="Q54" s="41">
        <f>IF(B54="","",IF(AND(F54="MEMENUHI",OR(N54="SANGAT DIREKOMENDASIKAN",N54="DIREKOMENDASIKAN",N54="DIPERTIMBANGKAN")),"Ya","Tidak"))</f>
        <v/>
      </c>
      <c r="R54" s="46">
        <f>IF(Q54&lt;&gt;"Ya","",M54+IF(O54="Ya",0.01,0)+L54/10000)</f>
        <v/>
      </c>
      <c r="S54" s="41">
        <f>IF(R54="","",COUNTIF($R$5:$R$64,"&gt;"&amp;R54)+1)</f>
        <v/>
      </c>
      <c r="T54" s="41">
        <f>IF(B54="","",IF(Q54&lt;&gt;"Ya","Tidak Lolos",IF(S54&lt;=Parameter!$C$9,"Masuk Kuota","Cadangan")))</f>
        <v/>
      </c>
    </row>
    <row r="55">
      <c r="A55" s="41" t="n">
        <v>51</v>
      </c>
      <c r="B55" s="42" t="n"/>
      <c r="C55" s="42" t="n"/>
      <c r="D55" s="42" t="n"/>
      <c r="E55" s="43" t="n"/>
      <c r="F55" s="44" t="n"/>
      <c r="G55" s="45" t="n"/>
      <c r="H55" s="45" t="n"/>
      <c r="I55" s="45" t="n"/>
      <c r="J55" s="45" t="n"/>
      <c r="K55" s="45" t="n"/>
      <c r="L55" s="45" t="n"/>
      <c r="M55" s="45" t="n"/>
      <c r="N55" s="42" t="n"/>
      <c r="O55" s="44" t="n"/>
      <c r="P55" s="42" t="n"/>
      <c r="Q55" s="41">
        <f>IF(B55="","",IF(AND(F55="MEMENUHI",OR(N55="SANGAT DIREKOMENDASIKAN",N55="DIREKOMENDASIKAN",N55="DIPERTIMBANGKAN")),"Ya","Tidak"))</f>
        <v/>
      </c>
      <c r="R55" s="46">
        <f>IF(Q55&lt;&gt;"Ya","",M55+IF(O55="Ya",0.01,0)+L55/10000)</f>
        <v/>
      </c>
      <c r="S55" s="41">
        <f>IF(R55="","",COUNTIF($R$5:$R$64,"&gt;"&amp;R55)+1)</f>
        <v/>
      </c>
      <c r="T55" s="41">
        <f>IF(B55="","",IF(Q55&lt;&gt;"Ya","Tidak Lolos",IF(S55&lt;=Parameter!$C$9,"Masuk Kuota","Cadangan")))</f>
        <v/>
      </c>
    </row>
    <row r="56">
      <c r="A56" s="41" t="n">
        <v>52</v>
      </c>
      <c r="B56" s="42" t="n"/>
      <c r="C56" s="42" t="n"/>
      <c r="D56" s="42" t="n"/>
      <c r="E56" s="43" t="n"/>
      <c r="F56" s="44" t="n"/>
      <c r="G56" s="45" t="n"/>
      <c r="H56" s="45" t="n"/>
      <c r="I56" s="45" t="n"/>
      <c r="J56" s="45" t="n"/>
      <c r="K56" s="45" t="n"/>
      <c r="L56" s="45" t="n"/>
      <c r="M56" s="45" t="n"/>
      <c r="N56" s="42" t="n"/>
      <c r="O56" s="44" t="n"/>
      <c r="P56" s="42" t="n"/>
      <c r="Q56" s="41">
        <f>IF(B56="","",IF(AND(F56="MEMENUHI",OR(N56="SANGAT DIREKOMENDASIKAN",N56="DIREKOMENDASIKAN",N56="DIPERTIMBANGKAN")),"Ya","Tidak"))</f>
        <v/>
      </c>
      <c r="R56" s="46">
        <f>IF(Q56&lt;&gt;"Ya","",M56+IF(O56="Ya",0.01,0)+L56/10000)</f>
        <v/>
      </c>
      <c r="S56" s="41">
        <f>IF(R56="","",COUNTIF($R$5:$R$64,"&gt;"&amp;R56)+1)</f>
        <v/>
      </c>
      <c r="T56" s="41">
        <f>IF(B56="","",IF(Q56&lt;&gt;"Ya","Tidak Lolos",IF(S56&lt;=Parameter!$C$9,"Masuk Kuota","Cadangan")))</f>
        <v/>
      </c>
    </row>
    <row r="57">
      <c r="A57" s="41" t="n">
        <v>53</v>
      </c>
      <c r="B57" s="42" t="n"/>
      <c r="C57" s="42" t="n"/>
      <c r="D57" s="42" t="n"/>
      <c r="E57" s="43" t="n"/>
      <c r="F57" s="44" t="n"/>
      <c r="G57" s="45" t="n"/>
      <c r="H57" s="45" t="n"/>
      <c r="I57" s="45" t="n"/>
      <c r="J57" s="45" t="n"/>
      <c r="K57" s="45" t="n"/>
      <c r="L57" s="45" t="n"/>
      <c r="M57" s="45" t="n"/>
      <c r="N57" s="42" t="n"/>
      <c r="O57" s="44" t="n"/>
      <c r="P57" s="42" t="n"/>
      <c r="Q57" s="41">
        <f>IF(B57="","",IF(AND(F57="MEMENUHI",OR(N57="SANGAT DIREKOMENDASIKAN",N57="DIREKOMENDASIKAN",N57="DIPERTIMBANGKAN")),"Ya","Tidak"))</f>
        <v/>
      </c>
      <c r="R57" s="46">
        <f>IF(Q57&lt;&gt;"Ya","",M57+IF(O57="Ya",0.01,0)+L57/10000)</f>
        <v/>
      </c>
      <c r="S57" s="41">
        <f>IF(R57="","",COUNTIF($R$5:$R$64,"&gt;"&amp;R57)+1)</f>
        <v/>
      </c>
      <c r="T57" s="41">
        <f>IF(B57="","",IF(Q57&lt;&gt;"Ya","Tidak Lolos",IF(S57&lt;=Parameter!$C$9,"Masuk Kuota","Cadangan")))</f>
        <v/>
      </c>
    </row>
    <row r="58">
      <c r="A58" s="41" t="n">
        <v>54</v>
      </c>
      <c r="B58" s="42" t="n"/>
      <c r="C58" s="42" t="n"/>
      <c r="D58" s="42" t="n"/>
      <c r="E58" s="43" t="n"/>
      <c r="F58" s="44" t="n"/>
      <c r="G58" s="45" t="n"/>
      <c r="H58" s="45" t="n"/>
      <c r="I58" s="45" t="n"/>
      <c r="J58" s="45" t="n"/>
      <c r="K58" s="45" t="n"/>
      <c r="L58" s="45" t="n"/>
      <c r="M58" s="45" t="n"/>
      <c r="N58" s="42" t="n"/>
      <c r="O58" s="44" t="n"/>
      <c r="P58" s="42" t="n"/>
      <c r="Q58" s="41">
        <f>IF(B58="","",IF(AND(F58="MEMENUHI",OR(N58="SANGAT DIREKOMENDASIKAN",N58="DIREKOMENDASIKAN",N58="DIPERTIMBANGKAN")),"Ya","Tidak"))</f>
        <v/>
      </c>
      <c r="R58" s="46">
        <f>IF(Q58&lt;&gt;"Ya","",M58+IF(O58="Ya",0.01,0)+L58/10000)</f>
        <v/>
      </c>
      <c r="S58" s="41">
        <f>IF(R58="","",COUNTIF($R$5:$R$64,"&gt;"&amp;R58)+1)</f>
        <v/>
      </c>
      <c r="T58" s="41">
        <f>IF(B58="","",IF(Q58&lt;&gt;"Ya","Tidak Lolos",IF(S58&lt;=Parameter!$C$9,"Masuk Kuota","Cadangan")))</f>
        <v/>
      </c>
    </row>
    <row r="59">
      <c r="A59" s="41" t="n">
        <v>55</v>
      </c>
      <c r="B59" s="42" t="n"/>
      <c r="C59" s="42" t="n"/>
      <c r="D59" s="42" t="n"/>
      <c r="E59" s="43" t="n"/>
      <c r="F59" s="44" t="n"/>
      <c r="G59" s="45" t="n"/>
      <c r="H59" s="45" t="n"/>
      <c r="I59" s="45" t="n"/>
      <c r="J59" s="45" t="n"/>
      <c r="K59" s="45" t="n"/>
      <c r="L59" s="45" t="n"/>
      <c r="M59" s="45" t="n"/>
      <c r="N59" s="42" t="n"/>
      <c r="O59" s="44" t="n"/>
      <c r="P59" s="42" t="n"/>
      <c r="Q59" s="41">
        <f>IF(B59="","",IF(AND(F59="MEMENUHI",OR(N59="SANGAT DIREKOMENDASIKAN",N59="DIREKOMENDASIKAN",N59="DIPERTIMBANGKAN")),"Ya","Tidak"))</f>
        <v/>
      </c>
      <c r="R59" s="46">
        <f>IF(Q59&lt;&gt;"Ya","",M59+IF(O59="Ya",0.01,0)+L59/10000)</f>
        <v/>
      </c>
      <c r="S59" s="41">
        <f>IF(R59="","",COUNTIF($R$5:$R$64,"&gt;"&amp;R59)+1)</f>
        <v/>
      </c>
      <c r="T59" s="41">
        <f>IF(B59="","",IF(Q59&lt;&gt;"Ya","Tidak Lolos",IF(S59&lt;=Parameter!$C$9,"Masuk Kuota","Cadangan")))</f>
        <v/>
      </c>
    </row>
    <row r="60">
      <c r="A60" s="41" t="n">
        <v>56</v>
      </c>
      <c r="B60" s="42" t="n"/>
      <c r="C60" s="42" t="n"/>
      <c r="D60" s="42" t="n"/>
      <c r="E60" s="43" t="n"/>
      <c r="F60" s="44" t="n"/>
      <c r="G60" s="45" t="n"/>
      <c r="H60" s="45" t="n"/>
      <c r="I60" s="45" t="n"/>
      <c r="J60" s="45" t="n"/>
      <c r="K60" s="45" t="n"/>
      <c r="L60" s="45" t="n"/>
      <c r="M60" s="45" t="n"/>
      <c r="N60" s="42" t="n"/>
      <c r="O60" s="44" t="n"/>
      <c r="P60" s="42" t="n"/>
      <c r="Q60" s="41">
        <f>IF(B60="","",IF(AND(F60="MEMENUHI",OR(N60="SANGAT DIREKOMENDASIKAN",N60="DIREKOMENDASIKAN",N60="DIPERTIMBANGKAN")),"Ya","Tidak"))</f>
        <v/>
      </c>
      <c r="R60" s="46">
        <f>IF(Q60&lt;&gt;"Ya","",M60+IF(O60="Ya",0.01,0)+L60/10000)</f>
        <v/>
      </c>
      <c r="S60" s="41">
        <f>IF(R60="","",COUNTIF($R$5:$R$64,"&gt;"&amp;R60)+1)</f>
        <v/>
      </c>
      <c r="T60" s="41">
        <f>IF(B60="","",IF(Q60&lt;&gt;"Ya","Tidak Lolos",IF(S60&lt;=Parameter!$C$9,"Masuk Kuota","Cadangan")))</f>
        <v/>
      </c>
    </row>
    <row r="61">
      <c r="A61" s="41" t="n">
        <v>57</v>
      </c>
      <c r="B61" s="42" t="n"/>
      <c r="C61" s="42" t="n"/>
      <c r="D61" s="42" t="n"/>
      <c r="E61" s="43" t="n"/>
      <c r="F61" s="44" t="n"/>
      <c r="G61" s="45" t="n"/>
      <c r="H61" s="45" t="n"/>
      <c r="I61" s="45" t="n"/>
      <c r="J61" s="45" t="n"/>
      <c r="K61" s="45" t="n"/>
      <c r="L61" s="45" t="n"/>
      <c r="M61" s="45" t="n"/>
      <c r="N61" s="42" t="n"/>
      <c r="O61" s="44" t="n"/>
      <c r="P61" s="42" t="n"/>
      <c r="Q61" s="41">
        <f>IF(B61="","",IF(AND(F61="MEMENUHI",OR(N61="SANGAT DIREKOMENDASIKAN",N61="DIREKOMENDASIKAN",N61="DIPERTIMBANGKAN")),"Ya","Tidak"))</f>
        <v/>
      </c>
      <c r="R61" s="46">
        <f>IF(Q61&lt;&gt;"Ya","",M61+IF(O61="Ya",0.01,0)+L61/10000)</f>
        <v/>
      </c>
      <c r="S61" s="41">
        <f>IF(R61="","",COUNTIF($R$5:$R$64,"&gt;"&amp;R61)+1)</f>
        <v/>
      </c>
      <c r="T61" s="41">
        <f>IF(B61="","",IF(Q61&lt;&gt;"Ya","Tidak Lolos",IF(S61&lt;=Parameter!$C$9,"Masuk Kuota","Cadangan")))</f>
        <v/>
      </c>
    </row>
    <row r="62">
      <c r="A62" s="41" t="n">
        <v>58</v>
      </c>
      <c r="B62" s="42" t="n"/>
      <c r="C62" s="42" t="n"/>
      <c r="D62" s="42" t="n"/>
      <c r="E62" s="43" t="n"/>
      <c r="F62" s="44" t="n"/>
      <c r="G62" s="45" t="n"/>
      <c r="H62" s="45" t="n"/>
      <c r="I62" s="45" t="n"/>
      <c r="J62" s="45" t="n"/>
      <c r="K62" s="45" t="n"/>
      <c r="L62" s="45" t="n"/>
      <c r="M62" s="45" t="n"/>
      <c r="N62" s="42" t="n"/>
      <c r="O62" s="44" t="n"/>
      <c r="P62" s="42" t="n"/>
      <c r="Q62" s="41">
        <f>IF(B62="","",IF(AND(F62="MEMENUHI",OR(N62="SANGAT DIREKOMENDASIKAN",N62="DIREKOMENDASIKAN",N62="DIPERTIMBANGKAN")),"Ya","Tidak"))</f>
        <v/>
      </c>
      <c r="R62" s="46">
        <f>IF(Q62&lt;&gt;"Ya","",M62+IF(O62="Ya",0.01,0)+L62/10000)</f>
        <v/>
      </c>
      <c r="S62" s="41">
        <f>IF(R62="","",COUNTIF($R$5:$R$64,"&gt;"&amp;R62)+1)</f>
        <v/>
      </c>
      <c r="T62" s="41">
        <f>IF(B62="","",IF(Q62&lt;&gt;"Ya","Tidak Lolos",IF(S62&lt;=Parameter!$C$9,"Masuk Kuota","Cadangan")))</f>
        <v/>
      </c>
    </row>
    <row r="63">
      <c r="A63" s="41" t="n">
        <v>59</v>
      </c>
      <c r="B63" s="42" t="n"/>
      <c r="C63" s="42" t="n"/>
      <c r="D63" s="42" t="n"/>
      <c r="E63" s="43" t="n"/>
      <c r="F63" s="44" t="n"/>
      <c r="G63" s="45" t="n"/>
      <c r="H63" s="45" t="n"/>
      <c r="I63" s="45" t="n"/>
      <c r="J63" s="45" t="n"/>
      <c r="K63" s="45" t="n"/>
      <c r="L63" s="45" t="n"/>
      <c r="M63" s="45" t="n"/>
      <c r="N63" s="42" t="n"/>
      <c r="O63" s="44" t="n"/>
      <c r="P63" s="42" t="n"/>
      <c r="Q63" s="41">
        <f>IF(B63="","",IF(AND(F63="MEMENUHI",OR(N63="SANGAT DIREKOMENDASIKAN",N63="DIREKOMENDASIKAN",N63="DIPERTIMBANGKAN")),"Ya","Tidak"))</f>
        <v/>
      </c>
      <c r="R63" s="46">
        <f>IF(Q63&lt;&gt;"Ya","",M63+IF(O63="Ya",0.01,0)+L63/10000)</f>
        <v/>
      </c>
      <c r="S63" s="41">
        <f>IF(R63="","",COUNTIF($R$5:$R$64,"&gt;"&amp;R63)+1)</f>
        <v/>
      </c>
      <c r="T63" s="41">
        <f>IF(B63="","",IF(Q63&lt;&gt;"Ya","Tidak Lolos",IF(S63&lt;=Parameter!$C$9,"Masuk Kuota","Cadangan")))</f>
        <v/>
      </c>
    </row>
    <row r="64">
      <c r="A64" s="41" t="n">
        <v>60</v>
      </c>
      <c r="B64" s="42" t="n"/>
      <c r="C64" s="42" t="n"/>
      <c r="D64" s="42" t="n"/>
      <c r="E64" s="43" t="n"/>
      <c r="F64" s="44" t="n"/>
      <c r="G64" s="45" t="n"/>
      <c r="H64" s="45" t="n"/>
      <c r="I64" s="45" t="n"/>
      <c r="J64" s="45" t="n"/>
      <c r="K64" s="45" t="n"/>
      <c r="L64" s="45" t="n"/>
      <c r="M64" s="45" t="n"/>
      <c r="N64" s="42" t="n"/>
      <c r="O64" s="44" t="n"/>
      <c r="P64" s="42" t="n"/>
      <c r="Q64" s="41">
        <f>IF(B64="","",IF(AND(F64="MEMENUHI",OR(N64="SANGAT DIREKOMENDASIKAN",N64="DIREKOMENDASIKAN",N64="DIPERTIMBANGKAN")),"Ya","Tidak"))</f>
        <v/>
      </c>
      <c r="R64" s="46">
        <f>IF(Q64&lt;&gt;"Ya","",M64+IF(O64="Ya",0.01,0)+L64/10000)</f>
        <v/>
      </c>
      <c r="S64" s="41">
        <f>IF(R64="","",COUNTIF($R$5:$R$64,"&gt;"&amp;R64)+1)</f>
        <v/>
      </c>
      <c r="T64" s="41">
        <f>IF(B64="","",IF(Q64&lt;&gt;"Ya","Tidak Lolos",IF(S64&lt;=Parameter!$C$9,"Masuk Kuota","Cadangan")))</f>
        <v/>
      </c>
    </row>
    <row r="65" ht="28" customHeight="1">
      <c r="A65" s="32" t="inlineStr">
        <is>
          <t>Nilai Peringkat = Nilai Akhir + 0,01 bila bersedia dinas luar kota + Indeks Teknis/10.000 (pemecah nilai seri; dinas luar kota hanya penentu bila nilai sama, bukan syarat). Kandidat 'Tidak Lolos' tidak diberi peringkat.</t>
        </is>
      </c>
    </row>
    <row r="67">
      <c r="A67" s="3" t="inlineStr">
        <is>
          <t>RINGKASAN</t>
        </is>
      </c>
      <c r="B67" s="3" t="n"/>
      <c r="C67" s="3" t="n"/>
      <c r="D67" s="3" t="n"/>
      <c r="E67" s="3" t="n"/>
      <c r="G67" s="3" t="inlineStr">
        <is>
          <t>KALIBRASI ANTAR-INTERVIEWER</t>
        </is>
      </c>
      <c r="H67" s="3" t="n"/>
      <c r="I67" s="3" t="n"/>
      <c r="J67" s="3" t="n"/>
      <c r="K67" s="3" t="n"/>
      <c r="L67" s="3" t="n"/>
    </row>
    <row r="68">
      <c r="A68" s="7" t="inlineStr">
        <is>
          <t>Jumlah kandidat diwawancarai</t>
        </is>
      </c>
      <c r="B68" s="22" t="n"/>
      <c r="C68" s="22" t="n"/>
      <c r="D68" s="22" t="n"/>
      <c r="E68" s="47">
        <f>COUNTA(B5:B64)</f>
        <v/>
      </c>
      <c r="G68" s="10" t="inlineStr">
        <is>
          <t>Nama Interviewer</t>
        </is>
      </c>
      <c r="H68" s="11" t="n"/>
      <c r="I68" s="10" t="inlineStr">
        <is>
          <t>Jumlah Kandidat</t>
        </is>
      </c>
      <c r="J68" s="10" t="inlineStr">
        <is>
          <t>Rata-rata Nilai</t>
        </is>
      </c>
      <c r="K68" s="10" t="inlineStr">
        <is>
          <t>Selisih dari Rata-rata</t>
        </is>
      </c>
      <c r="L68" s="10" t="inlineStr">
        <is>
          <t>Status</t>
        </is>
      </c>
    </row>
    <row r="69">
      <c r="A69" s="7" t="inlineStr">
        <is>
          <t>Layak diperingkat</t>
        </is>
      </c>
      <c r="B69" s="22" t="n"/>
      <c r="C69" s="22" t="n"/>
      <c r="D69" s="22" t="n"/>
      <c r="E69" s="47">
        <f>COUNTIF(Q5:Q64,"Ya")</f>
        <v/>
      </c>
      <c r="G69" s="8" t="n"/>
      <c r="H69" s="8" t="n"/>
      <c r="I69" s="12">
        <f>IF(G69="","",COUNTIF($D$5:$D$64,G69))</f>
        <v/>
      </c>
      <c r="J69" s="23">
        <f>IF(OR(G69="",I69=0),"",AVERAGEIF($D$5:$D$64,G69,$M$5:$M$64))</f>
        <v/>
      </c>
      <c r="K69" s="48">
        <f>IF(J69="","",J69-$E$73)</f>
        <v/>
      </c>
      <c r="L69" s="12">
        <f>IF(K69="","",IF(ABS(K69)&gt;Parameter!$C$10,"Perlu kalibrasi","Wajar"))</f>
        <v/>
      </c>
    </row>
    <row r="70">
      <c r="A70" s="7" t="inlineStr">
        <is>
          <t>Masuk kuota</t>
        </is>
      </c>
      <c r="B70" s="22" t="n"/>
      <c r="C70" s="22" t="n"/>
      <c r="D70" s="22" t="n"/>
      <c r="E70" s="47">
        <f>COUNTIF(T5:T64,"Masuk Kuota")</f>
        <v/>
      </c>
      <c r="G70" s="8" t="n"/>
      <c r="H70" s="8" t="n"/>
      <c r="I70" s="12">
        <f>IF(G70="","",COUNTIF($D$5:$D$64,G70))</f>
        <v/>
      </c>
      <c r="J70" s="23">
        <f>IF(OR(G70="",I70=0),"",AVERAGEIF($D$5:$D$64,G70,$M$5:$M$64))</f>
        <v/>
      </c>
      <c r="K70" s="48">
        <f>IF(J70="","",J70-$E$73)</f>
        <v/>
      </c>
      <c r="L70" s="12">
        <f>IF(K70="","",IF(ABS(K70)&gt;Parameter!$C$10,"Perlu kalibrasi","Wajar"))</f>
        <v/>
      </c>
    </row>
    <row r="71">
      <c r="A71" s="7" t="inlineStr">
        <is>
          <t>Cadangan</t>
        </is>
      </c>
      <c r="B71" s="22" t="n"/>
      <c r="C71" s="22" t="n"/>
      <c r="D71" s="22" t="n"/>
      <c r="E71" s="47">
        <f>COUNTIF(T5:T64,"Cadangan")</f>
        <v/>
      </c>
      <c r="G71" s="8" t="n"/>
      <c r="H71" s="8" t="n"/>
      <c r="I71" s="12">
        <f>IF(G71="","",COUNTIF($D$5:$D$64,G71))</f>
        <v/>
      </c>
      <c r="J71" s="23">
        <f>IF(OR(G71="",I71=0),"",AVERAGEIF($D$5:$D$64,G71,$M$5:$M$64))</f>
        <v/>
      </c>
      <c r="K71" s="48">
        <f>IF(J71="","",J71-$E$73)</f>
        <v/>
      </c>
      <c r="L71" s="12">
        <f>IF(K71="","",IF(ABS(K71)&gt;Parameter!$C$10,"Perlu kalibrasi","Wajar"))</f>
        <v/>
      </c>
    </row>
    <row r="72">
      <c r="A72" s="7" t="inlineStr">
        <is>
          <t>Kuota</t>
        </is>
      </c>
      <c r="B72" s="22" t="n"/>
      <c r="C72" s="22" t="n"/>
      <c r="D72" s="22" t="n"/>
      <c r="E72" s="47">
        <f>Parameter!$C$9</f>
        <v/>
      </c>
      <c r="G72" s="8" t="n"/>
      <c r="H72" s="8" t="n"/>
      <c r="I72" s="12">
        <f>IF(G72="","",COUNTIF($D$5:$D$64,G72))</f>
        <v/>
      </c>
      <c r="J72" s="23">
        <f>IF(OR(G72="",I72=0),"",AVERAGEIF($D$5:$D$64,G72,$M$5:$M$64))</f>
        <v/>
      </c>
      <c r="K72" s="48">
        <f>IF(J72="","",J72-$E$73)</f>
        <v/>
      </c>
      <c r="L72" s="12">
        <f>IF(K72="","",IF(ABS(K72)&gt;Parameter!$C$10,"Perlu kalibrasi","Wajar"))</f>
        <v/>
      </c>
    </row>
    <row r="73">
      <c r="A73" s="7" t="inlineStr">
        <is>
          <t>Rata-rata nilai akhir seluruh kandidat</t>
        </is>
      </c>
      <c r="B73" s="22" t="n"/>
      <c r="C73" s="22" t="n"/>
      <c r="D73" s="22" t="n"/>
      <c r="E73" s="23">
        <f>IFERROR(AVERAGE(M5:M64),"")</f>
        <v/>
      </c>
      <c r="G73" s="8" t="n"/>
      <c r="H73" s="8" t="n"/>
      <c r="I73" s="12">
        <f>IF(G73="","",COUNTIF($D$5:$D$64,G73))</f>
        <v/>
      </c>
      <c r="J73" s="23">
        <f>IF(OR(G73="",I73=0),"",AVERAGEIF($D$5:$D$64,G73,$M$5:$M$64))</f>
        <v/>
      </c>
      <c r="K73" s="48">
        <f>IF(J73="","",J73-$E$73)</f>
        <v/>
      </c>
      <c r="L73" s="12">
        <f>IF(K73="","",IF(ABS(K73)&gt;Parameter!$C$10,"Perlu kalibrasi","Wajar"))</f>
        <v/>
      </c>
    </row>
    <row r="74">
      <c r="G74" s="8" t="n"/>
      <c r="H74" s="8" t="n"/>
      <c r="I74" s="12">
        <f>IF(G74="","",COUNTIF($D$5:$D$64,G74))</f>
        <v/>
      </c>
      <c r="J74" s="23">
        <f>IF(OR(G74="",I74=0),"",AVERAGEIF($D$5:$D$64,G74,$M$5:$M$64))</f>
        <v/>
      </c>
      <c r="K74" s="48">
        <f>IF(J74="","",J74-$E$73)</f>
        <v/>
      </c>
      <c r="L74" s="12">
        <f>IF(K74="","",IF(ABS(K74)&gt;Parameter!$C$10,"Perlu kalibrasi","Wajar"))</f>
        <v/>
      </c>
    </row>
  </sheetData>
  <mergeCells count="18">
    <mergeCell ref="A1:T1"/>
    <mergeCell ref="G73:H73"/>
    <mergeCell ref="A70:D70"/>
    <mergeCell ref="G68:H68"/>
    <mergeCell ref="A69:D69"/>
    <mergeCell ref="A68:D68"/>
    <mergeCell ref="G67:L67"/>
    <mergeCell ref="A72:D72"/>
    <mergeCell ref="G71:H71"/>
    <mergeCell ref="A65:T65"/>
    <mergeCell ref="A2:T2"/>
    <mergeCell ref="A71:D71"/>
    <mergeCell ref="A73:D73"/>
    <mergeCell ref="G69:H69"/>
    <mergeCell ref="G70:H70"/>
    <mergeCell ref="A67:E67"/>
    <mergeCell ref="G74:H74"/>
    <mergeCell ref="G72:H72"/>
  </mergeCells>
  <conditionalFormatting sqref="L69:L74">
    <cfRule type="expression" priority="1" dxfId="0">
      <formula>L69="Perlu kalibrasi"</formula>
    </cfRule>
  </conditionalFormatting>
  <conditionalFormatting sqref="T5:T64">
    <cfRule type="expression" priority="2" dxfId="2">
      <formula>T5="Masuk Kuota"</formula>
    </cfRule>
    <cfRule type="expression" priority="3" dxfId="1">
      <formula>T5="Cadangan"</formula>
    </cfRule>
    <cfRule type="expression" priority="4" dxfId="4">
      <formula>T5="Tidak Lolos"</formula>
    </cfRule>
  </conditionalFormatting>
  <printOptions horizontalCentered="1"/>
  <pageMargins left="0.4" right="0.4" top="0.5" bottom="0.5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tabColor rgb="00E6C8B7"/>
    <outlinePr summaryBelow="1" summaryRight="1"/>
    <pageSetUpPr fitToPage="1"/>
  </sheetPr>
  <dimension ref="A1:D1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0" customWidth="1" min="3" max="3"/>
    <col width="70" customWidth="1" min="4" max="4"/>
  </cols>
  <sheetData>
    <row r="1" ht="30" customHeight="1">
      <c r="A1" s="1" t="inlineStr">
        <is>
          <t>PARAMETER PENILAIAN</t>
        </is>
      </c>
      <c r="B1" s="1" t="n"/>
      <c r="C1" s="1" t="n"/>
      <c r="D1" s="1" t="n"/>
    </row>
    <row r="2" ht="18" customHeight="1">
      <c r="A2" s="2" t="inlineStr">
        <is>
          <t>Ubah nilai di kolom C (sel berwarna blush) bila kebijakan KAP berbeda. Semua sheet mengacu ke sini.</t>
        </is>
      </c>
      <c r="B2" s="2" t="n"/>
      <c r="C2" s="2" t="n"/>
      <c r="D2" s="2" t="n"/>
    </row>
    <row r="3">
      <c r="A3" s="10" t="inlineStr">
        <is>
          <t>No.</t>
        </is>
      </c>
      <c r="B3" s="10" t="inlineStr">
        <is>
          <t>Parameter</t>
        </is>
      </c>
      <c r="C3" s="10" t="inlineStr">
        <is>
          <t>Nilai</t>
        </is>
      </c>
      <c r="D3" s="10" t="inlineStr">
        <is>
          <t>Keterangan</t>
        </is>
      </c>
    </row>
    <row r="4">
      <c r="A4" s="12" t="n">
        <v>1</v>
      </c>
      <c r="B4" s="22" t="inlineStr">
        <is>
          <t>Batas SANGAT DIREKOMENDASIKAN (nilai akhir ≥)</t>
        </is>
      </c>
      <c r="C4" s="29" t="n">
        <v>75</v>
      </c>
      <c r="D4" s="22" t="inlineStr">
        <is>
          <t>Setara rata-rata skor ±3,25 dari skala 1–4.</t>
        </is>
      </c>
    </row>
    <row r="5">
      <c r="A5" s="12" t="n">
        <v>2</v>
      </c>
      <c r="B5" s="22" t="inlineStr">
        <is>
          <t>Batas DIREKOMENDASIKAN (nilai akhir ≥)</t>
        </is>
      </c>
      <c r="C5" s="29" t="n">
        <v>60</v>
      </c>
      <c r="D5" s="22" t="inlineStr">
        <is>
          <t>Setara rata-rata skor ±2,8.</t>
        </is>
      </c>
    </row>
    <row r="6">
      <c r="A6" s="12" t="n">
        <v>3</v>
      </c>
      <c r="B6" s="22" t="inlineStr">
        <is>
          <t>Batas DIPERTIMBANGKAN (nilai akhir ≥)</t>
        </is>
      </c>
      <c r="C6" s="29" t="n">
        <v>45</v>
      </c>
      <c r="D6" s="22" t="inlineStr">
        <is>
          <t>Di bawah batas ini: TIDAK DIREKOMENDASIKAN.</t>
        </is>
      </c>
    </row>
    <row r="7">
      <c r="A7" s="12" t="n">
        <v>4</v>
      </c>
      <c r="B7" s="22" t="inlineStr">
        <is>
          <t>Indeks teknis minimum (Akuntansi + Audit Lapangan)</t>
        </is>
      </c>
      <c r="C7" s="29" t="n">
        <v>50</v>
      </c>
      <c r="D7" s="22" t="inlineStr">
        <is>
          <t>Di bawah nilai ini kandidat tidak direkomendasikan, berapa pun nilai akhirnya.</t>
        </is>
      </c>
    </row>
    <row r="8">
      <c r="A8" s="12" t="n">
        <v>5</v>
      </c>
      <c r="B8" s="22" t="inlineStr">
        <is>
          <t>Skor minimum per pertanyaan Integritas &amp; Kerahasiaan</t>
        </is>
      </c>
      <c r="C8" s="29" t="n">
        <v>2</v>
      </c>
      <c r="D8" s="22" t="inlineStr">
        <is>
          <t>Skor 1 pada salah satu pertanyaan integritas = red flag.</t>
        </is>
      </c>
    </row>
    <row r="9">
      <c r="A9" s="12" t="n">
        <v>6</v>
      </c>
      <c r="B9" s="22" t="inlineStr">
        <is>
          <t>Kuota mahasiswa magang</t>
        </is>
      </c>
      <c r="C9" s="29" t="n">
        <v>15</v>
      </c>
      <c r="D9" s="22" t="inlineStr">
        <is>
          <t>Dipakai di sheet Rekap Kandidat untuk menentukan 'Masuk Kuota' vs 'Cadangan'.</t>
        </is>
      </c>
    </row>
    <row r="10">
      <c r="A10" s="12" t="n">
        <v>7</v>
      </c>
      <c r="B10" s="22" t="inlineStr">
        <is>
          <t>Toleransi selisih rata-rata nilai antar-interviewer (poin)</t>
        </is>
      </c>
      <c r="C10" s="29" t="n">
        <v>10</v>
      </c>
      <c r="D10" s="22" t="inlineStr">
        <is>
          <t>Selisih di atas ini menandakan interviewer terlalu longgar/ketat; perlu kalibrasi.</t>
        </is>
      </c>
    </row>
    <row r="12" ht="30" customHeight="1">
      <c r="A12" s="32" t="inlineStr">
        <is>
          <t>Rumus nilai: setiap pertanyaan dinilai 1–4, dikonversi ke 0–100 dengan (skor − 1) ÷ 3 × 100, lalu dibobot. Skor 1 = 0 poin, skor 2 = 33, skor 3 = 67, skor 4 = 100. Tidak ada nilai dasar untuk jawaban yang tidak memadai.</t>
        </is>
      </c>
    </row>
  </sheetData>
  <mergeCells count="3">
    <mergeCell ref="A1:D1"/>
    <mergeCell ref="A12:D12"/>
    <mergeCell ref="A2:D2"/>
  </mergeCells>
  <printOptions horizontalCentered="1"/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2026-10-05T07:45:43Z</dcterms:created>
  <dcterms:modified xsi:type="dcterms:W3CDTF">2026-10-05T07:45:43Z</dcterms:modified>
</cp:coreProperties>
</file>